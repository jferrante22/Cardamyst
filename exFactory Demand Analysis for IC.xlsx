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lestonepharma.sharepoint.com/sites/MIST/Budget Forecast/SVA Deliverables/Revenue Management/"/>
    </mc:Choice>
  </mc:AlternateContent>
  <xr:revisionPtr revIDLastSave="245" documentId="8_{758850CA-08A3-444C-B988-647D0870E00E}" xr6:coauthVersionLast="47" xr6:coauthVersionMax="47" xr10:uidLastSave="{74A267B5-1B31-49FB-B380-15CF9767FECB}"/>
  <bookViews>
    <workbookView xWindow="13380" yWindow="-16320" windowWidth="29040" windowHeight="15720" xr2:uid="{0F445876-50DF-4428-9CC9-D1EB6BEB6051}"/>
  </bookViews>
  <sheets>
    <sheet name="exFactory Demand Mode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3" i="2"/>
  <c r="E14" i="2"/>
  <c r="E15" i="2"/>
  <c r="E16" i="2"/>
  <c r="E5" i="2"/>
  <c r="E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E3" i="2"/>
  <c r="C4" i="2" l="1"/>
  <c r="C5" i="2" s="1"/>
  <c r="G5" i="2" s="1"/>
  <c r="C6" i="2" l="1"/>
  <c r="G6" i="2" s="1"/>
  <c r="C7" i="2" l="1"/>
  <c r="G7" i="2" s="1"/>
  <c r="C8" i="2" l="1"/>
  <c r="G8" i="2" s="1"/>
  <c r="C9" i="2" l="1"/>
  <c r="G9" i="2" s="1"/>
  <c r="C10" i="2" l="1"/>
  <c r="G10" i="2" s="1"/>
  <c r="C11" i="2" l="1"/>
  <c r="G11" i="2" s="1"/>
  <c r="C12" i="2" l="1"/>
  <c r="G12" i="2" s="1"/>
  <c r="C13" i="2" l="1"/>
  <c r="G13" i="2" s="1"/>
  <c r="C14" i="2" l="1"/>
  <c r="G14" i="2" s="1"/>
  <c r="C15" i="2" l="1"/>
  <c r="G15" i="2" s="1"/>
  <c r="C16" i="2" l="1"/>
  <c r="G16" i="2" s="1"/>
</calcChain>
</file>

<file path=xl/sharedStrings.xml><?xml version="1.0" encoding="utf-8"?>
<sst xmlns="http://schemas.openxmlformats.org/spreadsheetml/2006/main" count="5" uniqueCount="5">
  <si>
    <t>Total Monthly Script Demand (Forecast)</t>
  </si>
  <si>
    <t>Total Monthly exFact Demand (Forecast)</t>
  </si>
  <si>
    <t>Beg of month channel balance</t>
  </si>
  <si>
    <t>End of month channel balance</t>
  </si>
  <si>
    <t>MOH Assumption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</si>
</sst>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\-yy;@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1" applyFont="1" applyAlignment="1">
      <alignment horizontal="center" vertical="center" wrapText="1"/>
    </xf>
    <xf numFmtId="164" fontId="2" fillId="2" borderId="0" xfId="1" applyNumberFormat="1" applyFont="1" applyAlignment="1">
      <alignment horizontal="right"/>
    </xf>
    <xf numFmtId="165" fontId="0" fillId="0" borderId="0" xfId="2" applyNumberFormat="1" applyFont="1"/>
    <xf numFmtId="165" fontId="0" fillId="0" borderId="0" xfId="0" applyNumberFormat="1"/>
    <xf numFmtId="43" fontId="0" fillId="0" borderId="0" xfId="0" applyNumberFormat="1"/>
    <xf numFmtId="165" fontId="0" fillId="0" borderId="0" xfId="2" applyNumberFormat="1" applyFont="1" applyBorder="1"/>
    <xf numFmtId="164" fontId="2" fillId="0" borderId="0" xfId="1" applyNumberFormat="1" applyFont="1" applyFill="1" applyAlignment="1">
      <alignment horizontal="right"/>
    </xf>
    <xf numFmtId="165" fontId="0" fillId="0" borderId="0" xfId="3" applyNumberFormat="1" applyFont="1" applyFill="1"/>
    <xf numFmtId="165" fontId="0" fillId="0" borderId="0" xfId="2" applyNumberFormat="1" applyFont="1" applyFill="1"/>
  </cellXfs>
  <cellStyles count="4">
    <cellStyle name="Accent1" xfId="1" builtinId="29"/>
    <cellStyle name="Comma" xfId="3" builtinId="3"/>
    <cellStyle name="Comma 2 3" xfId="2" xr:uid="{B664517A-79ED-471A-82E4-97D622E02B7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C9AD-E4A3-4E98-A760-0FA1EFA46640}">
  <dimension ref="B2:J41"/>
  <sheetViews>
    <sheetView tabSelected="1" workbookViewId="0">
      <selection activeCell="K25" sqref="K25"/>
    </sheetView>
  </sheetViews>
  <sheetFormatPr defaultRowHeight="14.4" x14ac:dyDescent="0.3"/>
  <cols>
    <col min="2" max="2" width="10.33203125" bestFit="1" customWidth="1"/>
    <col min="3" max="3" width="15.77734375" customWidth="1"/>
    <col min="4" max="4" width="27.21875" customWidth="1"/>
    <col min="5" max="5" width="18.88671875" customWidth="1"/>
    <col min="6" max="6" width="12.5546875" customWidth="1"/>
    <col min="7" max="7" width="24.77734375" customWidth="1"/>
  </cols>
  <sheetData>
    <row r="2" spans="2:10" ht="28.8" x14ac:dyDescent="0.3">
      <c r="B2" s="2"/>
      <c r="C2" s="1" t="s">
        <v>2</v>
      </c>
      <c r="D2" s="1" t="s">
        <v>0</v>
      </c>
      <c r="E2" s="1" t="s">
        <v>3</v>
      </c>
      <c r="F2" s="1" t="s">
        <v>4</v>
      </c>
      <c r="G2" s="1" t="s">
        <v>1</v>
      </c>
    </row>
    <row r="3" spans="2:10" x14ac:dyDescent="0.3">
      <c r="B3" s="2">
        <v>46022</v>
      </c>
      <c r="C3" s="3">
        <v>0</v>
      </c>
      <c r="D3" s="3">
        <v>0</v>
      </c>
      <c r="E3" s="4">
        <f>+C3-D3+G3</f>
        <v>0</v>
      </c>
      <c r="F3" s="3">
        <v>0</v>
      </c>
      <c r="G3" s="3">
        <v>0</v>
      </c>
    </row>
    <row r="4" spans="2:10" x14ac:dyDescent="0.3">
      <c r="B4" s="2">
        <f>EOMONTH(B3+1,0)</f>
        <v>46053</v>
      </c>
      <c r="C4" s="4">
        <f>E3</f>
        <v>0</v>
      </c>
      <c r="D4" s="3">
        <v>0</v>
      </c>
      <c r="E4" s="4">
        <f>+G4</f>
        <v>474</v>
      </c>
      <c r="F4" s="5">
        <v>0</v>
      </c>
      <c r="G4" s="3">
        <v>474</v>
      </c>
      <c r="J4" s="4"/>
    </row>
    <row r="5" spans="2:10" x14ac:dyDescent="0.3">
      <c r="B5" s="2">
        <f t="shared" ref="B5:B16" si="0">EOMONTH(B4+1,0)</f>
        <v>46081</v>
      </c>
      <c r="C5" s="4">
        <f>+E4</f>
        <v>474</v>
      </c>
      <c r="D5" s="3">
        <v>130</v>
      </c>
      <c r="E5" s="4">
        <f t="shared" ref="E5:E16" si="1">+F5*D5</f>
        <v>260</v>
      </c>
      <c r="F5" s="5">
        <v>2</v>
      </c>
      <c r="G5" s="3">
        <f>+IF(C5-D5&gt;E5,0,E5-C5+D5)</f>
        <v>0</v>
      </c>
    </row>
    <row r="6" spans="2:10" x14ac:dyDescent="0.3">
      <c r="B6" s="2">
        <f t="shared" si="0"/>
        <v>46112</v>
      </c>
      <c r="C6" s="4">
        <f t="shared" ref="C6:C16" si="2">+E5</f>
        <v>260</v>
      </c>
      <c r="D6" s="3">
        <v>246</v>
      </c>
      <c r="E6" s="4">
        <f t="shared" si="1"/>
        <v>492</v>
      </c>
      <c r="F6" s="5">
        <v>2</v>
      </c>
      <c r="G6" s="3">
        <f t="shared" ref="G6:G16" si="3">+IF(C6-D6&gt;E6,0,E6-C6+D6)</f>
        <v>478</v>
      </c>
      <c r="H6" s="5"/>
    </row>
    <row r="7" spans="2:10" x14ac:dyDescent="0.3">
      <c r="B7" s="2">
        <f t="shared" si="0"/>
        <v>46142</v>
      </c>
      <c r="C7" s="4">
        <f t="shared" si="2"/>
        <v>492</v>
      </c>
      <c r="D7" s="3">
        <v>445</v>
      </c>
      <c r="E7" s="4">
        <f t="shared" si="1"/>
        <v>890</v>
      </c>
      <c r="F7" s="5">
        <v>2</v>
      </c>
      <c r="G7" s="3">
        <f t="shared" si="3"/>
        <v>843</v>
      </c>
      <c r="H7" s="5"/>
    </row>
    <row r="8" spans="2:10" x14ac:dyDescent="0.3">
      <c r="B8" s="2">
        <f t="shared" si="0"/>
        <v>46173</v>
      </c>
      <c r="C8" s="4">
        <f t="shared" si="2"/>
        <v>890</v>
      </c>
      <c r="D8" s="3">
        <v>827</v>
      </c>
      <c r="E8" s="4">
        <f t="shared" si="1"/>
        <v>1654</v>
      </c>
      <c r="F8" s="5">
        <v>2</v>
      </c>
      <c r="G8" s="3">
        <f t="shared" si="3"/>
        <v>1591</v>
      </c>
      <c r="H8" s="5"/>
    </row>
    <row r="9" spans="2:10" x14ac:dyDescent="0.3">
      <c r="B9" s="2">
        <f t="shared" si="0"/>
        <v>46203</v>
      </c>
      <c r="C9" s="4">
        <f t="shared" si="2"/>
        <v>1654</v>
      </c>
      <c r="D9" s="3">
        <v>1273</v>
      </c>
      <c r="E9" s="4">
        <f t="shared" si="1"/>
        <v>2227.75</v>
      </c>
      <c r="F9" s="5">
        <v>1.75</v>
      </c>
      <c r="G9" s="3">
        <f t="shared" si="3"/>
        <v>1846.75</v>
      </c>
      <c r="H9" s="5"/>
    </row>
    <row r="10" spans="2:10" x14ac:dyDescent="0.3">
      <c r="B10" s="2">
        <f t="shared" si="0"/>
        <v>46234</v>
      </c>
      <c r="C10" s="4">
        <f t="shared" si="2"/>
        <v>2227.75</v>
      </c>
      <c r="D10" s="3">
        <v>2290</v>
      </c>
      <c r="E10" s="4">
        <f t="shared" si="1"/>
        <v>4007.5</v>
      </c>
      <c r="F10" s="5">
        <v>1.75</v>
      </c>
      <c r="G10" s="3">
        <f t="shared" si="3"/>
        <v>4069.75</v>
      </c>
      <c r="H10" s="5"/>
    </row>
    <row r="11" spans="2:10" x14ac:dyDescent="0.3">
      <c r="B11" s="2">
        <f t="shared" si="0"/>
        <v>46265</v>
      </c>
      <c r="C11" s="4">
        <f t="shared" si="2"/>
        <v>4007.5</v>
      </c>
      <c r="D11" s="6">
        <v>3028</v>
      </c>
      <c r="E11" s="4">
        <f t="shared" si="1"/>
        <v>4542</v>
      </c>
      <c r="F11" s="5">
        <v>1.5</v>
      </c>
      <c r="G11" s="3">
        <f t="shared" si="3"/>
        <v>3562.5</v>
      </c>
      <c r="H11" s="5"/>
    </row>
    <row r="12" spans="2:10" x14ac:dyDescent="0.3">
      <c r="B12" s="2">
        <f t="shared" si="0"/>
        <v>46295</v>
      </c>
      <c r="C12" s="4">
        <f t="shared" si="2"/>
        <v>4542</v>
      </c>
      <c r="D12" s="6">
        <v>3919</v>
      </c>
      <c r="E12" s="4">
        <f t="shared" si="1"/>
        <v>5878.5</v>
      </c>
      <c r="F12" s="5">
        <v>1.5</v>
      </c>
      <c r="G12" s="3">
        <f t="shared" si="3"/>
        <v>5255.5</v>
      </c>
      <c r="H12" s="5"/>
    </row>
    <row r="13" spans="2:10" x14ac:dyDescent="0.3">
      <c r="B13" s="2">
        <f t="shared" si="0"/>
        <v>46326</v>
      </c>
      <c r="C13" s="4">
        <f>+E12</f>
        <v>5878.5</v>
      </c>
      <c r="D13" s="3">
        <v>4772</v>
      </c>
      <c r="E13" s="4">
        <f t="shared" si="1"/>
        <v>5965</v>
      </c>
      <c r="F13" s="5">
        <v>1.25</v>
      </c>
      <c r="G13" s="3">
        <f t="shared" si="3"/>
        <v>4858.5</v>
      </c>
      <c r="H13" s="5"/>
    </row>
    <row r="14" spans="2:10" x14ac:dyDescent="0.3">
      <c r="B14" s="2">
        <f t="shared" si="0"/>
        <v>46356</v>
      </c>
      <c r="C14" s="4">
        <f t="shared" si="2"/>
        <v>5965</v>
      </c>
      <c r="D14" s="3">
        <v>5745</v>
      </c>
      <c r="E14" s="4">
        <f t="shared" si="1"/>
        <v>7181.25</v>
      </c>
      <c r="F14" s="5">
        <v>1.25</v>
      </c>
      <c r="G14" s="3">
        <f t="shared" si="3"/>
        <v>6961.25</v>
      </c>
      <c r="H14" s="5"/>
    </row>
    <row r="15" spans="2:10" x14ac:dyDescent="0.3">
      <c r="B15" s="2">
        <f t="shared" si="0"/>
        <v>46387</v>
      </c>
      <c r="C15" s="4">
        <f t="shared" si="2"/>
        <v>7181.25</v>
      </c>
      <c r="D15" s="3">
        <v>6813</v>
      </c>
      <c r="E15" s="4">
        <f t="shared" si="1"/>
        <v>6813</v>
      </c>
      <c r="F15" s="5">
        <v>1</v>
      </c>
      <c r="G15" s="3">
        <f t="shared" si="3"/>
        <v>6444.75</v>
      </c>
      <c r="H15" s="5"/>
    </row>
    <row r="16" spans="2:10" x14ac:dyDescent="0.3">
      <c r="B16" s="2">
        <f t="shared" si="0"/>
        <v>46418</v>
      </c>
      <c r="C16" s="4">
        <f t="shared" si="2"/>
        <v>6813</v>
      </c>
      <c r="D16" s="4">
        <v>8673</v>
      </c>
      <c r="E16" s="4">
        <f t="shared" si="1"/>
        <v>8673</v>
      </c>
      <c r="F16" s="5">
        <v>1</v>
      </c>
      <c r="G16" s="3">
        <f t="shared" si="3"/>
        <v>10533</v>
      </c>
      <c r="H16" s="5"/>
    </row>
    <row r="17" spans="2:8" x14ac:dyDescent="0.3">
      <c r="B17" s="7"/>
      <c r="C17" s="4"/>
      <c r="D17" s="8"/>
      <c r="E17" s="4"/>
      <c r="F17" s="5"/>
      <c r="G17" s="9"/>
      <c r="H17" s="5"/>
    </row>
    <row r="18" spans="2:8" x14ac:dyDescent="0.3">
      <c r="B18" s="7"/>
      <c r="C18" s="4"/>
      <c r="D18" s="8"/>
      <c r="E18" s="4"/>
      <c r="F18" s="5"/>
      <c r="G18" s="9"/>
      <c r="H18" s="5"/>
    </row>
    <row r="19" spans="2:8" x14ac:dyDescent="0.3">
      <c r="B19" s="7"/>
      <c r="C19" s="4"/>
      <c r="D19" s="8"/>
      <c r="E19" s="4"/>
      <c r="F19" s="5"/>
      <c r="G19" s="9"/>
      <c r="H19" s="5"/>
    </row>
    <row r="20" spans="2:8" x14ac:dyDescent="0.3">
      <c r="B20" s="7"/>
      <c r="C20" s="4"/>
      <c r="D20" s="8"/>
      <c r="E20" s="4"/>
      <c r="F20" s="5"/>
      <c r="G20" s="9"/>
      <c r="H20" s="5"/>
    </row>
    <row r="21" spans="2:8" x14ac:dyDescent="0.3">
      <c r="B21" s="7"/>
      <c r="C21" s="4"/>
      <c r="D21" s="8"/>
      <c r="E21" s="4"/>
      <c r="F21" s="5"/>
      <c r="G21" s="9"/>
      <c r="H21" s="5"/>
    </row>
    <row r="22" spans="2:8" x14ac:dyDescent="0.3">
      <c r="B22" s="7"/>
      <c r="C22" s="4"/>
      <c r="D22" s="8"/>
      <c r="E22" s="4"/>
      <c r="F22" s="5"/>
      <c r="G22" s="9"/>
      <c r="H22" s="5"/>
    </row>
    <row r="23" spans="2:8" x14ac:dyDescent="0.3">
      <c r="B23" s="7"/>
      <c r="C23" s="4"/>
      <c r="D23" s="8"/>
      <c r="E23" s="4"/>
      <c r="F23" s="5"/>
      <c r="G23" s="9"/>
      <c r="H23" s="5"/>
    </row>
    <row r="24" spans="2:8" x14ac:dyDescent="0.3">
      <c r="B24" s="7"/>
      <c r="C24" s="4"/>
      <c r="D24" s="8"/>
      <c r="E24" s="4"/>
      <c r="F24" s="5"/>
      <c r="G24" s="9"/>
      <c r="H24" s="5"/>
    </row>
    <row r="25" spans="2:8" x14ac:dyDescent="0.3">
      <c r="B25" s="7"/>
      <c r="C25" s="4"/>
      <c r="D25" s="8"/>
      <c r="E25" s="4"/>
      <c r="F25" s="5"/>
      <c r="G25" s="9"/>
      <c r="H25" s="5"/>
    </row>
    <row r="26" spans="2:8" x14ac:dyDescent="0.3">
      <c r="B26" s="7"/>
      <c r="C26" s="4"/>
      <c r="D26" s="8"/>
      <c r="E26" s="4"/>
      <c r="F26" s="5"/>
      <c r="G26" s="9"/>
      <c r="H26" s="5"/>
    </row>
    <row r="27" spans="2:8" x14ac:dyDescent="0.3">
      <c r="B27" s="7"/>
      <c r="C27" s="4"/>
      <c r="D27" s="8"/>
      <c r="E27" s="4"/>
      <c r="F27" s="5"/>
      <c r="G27" s="9"/>
      <c r="H27" s="5"/>
    </row>
    <row r="28" spans="2:8" x14ac:dyDescent="0.3">
      <c r="B28" s="7"/>
      <c r="C28" s="4"/>
      <c r="D28" s="8"/>
      <c r="E28" s="4"/>
      <c r="F28" s="5"/>
      <c r="G28" s="9"/>
      <c r="H28" s="5"/>
    </row>
    <row r="29" spans="2:8" x14ac:dyDescent="0.3">
      <c r="B29" s="7"/>
      <c r="C29" s="4"/>
      <c r="D29" s="8"/>
      <c r="E29" s="4"/>
      <c r="F29" s="5"/>
      <c r="G29" s="9"/>
      <c r="H29" s="5"/>
    </row>
    <row r="30" spans="2:8" x14ac:dyDescent="0.3">
      <c r="C30" s="4"/>
      <c r="D30" s="8"/>
      <c r="E30" s="4"/>
      <c r="F30" s="5"/>
      <c r="G30" s="9"/>
      <c r="H30" s="5"/>
    </row>
    <row r="31" spans="2:8" x14ac:dyDescent="0.3">
      <c r="C31" s="4"/>
      <c r="D31" s="8"/>
      <c r="E31" s="4"/>
      <c r="F31" s="5"/>
      <c r="G31" s="9"/>
      <c r="H31" s="5"/>
    </row>
    <row r="32" spans="2:8" x14ac:dyDescent="0.3">
      <c r="C32" s="4"/>
      <c r="D32" s="8"/>
      <c r="E32" s="4"/>
      <c r="F32" s="5"/>
      <c r="G32" s="9"/>
      <c r="H32" s="5"/>
    </row>
    <row r="33" spans="3:8" x14ac:dyDescent="0.3">
      <c r="C33" s="4"/>
      <c r="D33" s="8"/>
      <c r="E33" s="4"/>
      <c r="F33" s="5"/>
      <c r="G33" s="9"/>
      <c r="H33" s="5"/>
    </row>
    <row r="34" spans="3:8" x14ac:dyDescent="0.3">
      <c r="C34" s="4"/>
      <c r="D34" s="8"/>
      <c r="E34" s="4"/>
      <c r="F34" s="5"/>
      <c r="G34" s="9"/>
      <c r="H34" s="5"/>
    </row>
    <row r="35" spans="3:8" x14ac:dyDescent="0.3">
      <c r="C35" s="4"/>
      <c r="D35" s="8"/>
      <c r="E35" s="4"/>
      <c r="F35" s="5"/>
      <c r="G35" s="9"/>
      <c r="H35" s="5"/>
    </row>
    <row r="36" spans="3:8" x14ac:dyDescent="0.3">
      <c r="C36" s="4"/>
      <c r="D36" s="8"/>
      <c r="E36" s="4"/>
      <c r="F36" s="5"/>
      <c r="G36" s="9"/>
      <c r="H36" s="5"/>
    </row>
    <row r="37" spans="3:8" x14ac:dyDescent="0.3">
      <c r="C37" s="4"/>
      <c r="D37" s="8"/>
      <c r="E37" s="4"/>
      <c r="F37" s="5"/>
      <c r="G37" s="9"/>
      <c r="H37" s="5"/>
    </row>
    <row r="38" spans="3:8" x14ac:dyDescent="0.3">
      <c r="C38" s="4"/>
      <c r="D38" s="8"/>
      <c r="E38" s="4"/>
      <c r="F38" s="5"/>
      <c r="G38" s="9"/>
      <c r="H38" s="5"/>
    </row>
    <row r="39" spans="3:8" x14ac:dyDescent="0.3">
      <c r="C39" s="4"/>
      <c r="D39" s="8"/>
      <c r="E39" s="4"/>
      <c r="F39" s="5"/>
      <c r="G39" s="9"/>
      <c r="H39" s="5"/>
    </row>
    <row r="40" spans="3:8" x14ac:dyDescent="0.3">
      <c r="C40" s="4"/>
      <c r="D40" s="8"/>
      <c r="E40" s="4"/>
      <c r="F40" s="5"/>
      <c r="G40" s="9"/>
      <c r="H40" s="5"/>
    </row>
    <row r="41" spans="3:8" x14ac:dyDescent="0.3">
      <c r="C41" s="4"/>
      <c r="D41" s="8"/>
      <c r="E41" s="4"/>
      <c r="F41" s="5"/>
      <c r="G41" s="9"/>
      <c r="H4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C00B471ABA684593EDAFC4A9DBFCAC" ma:contentTypeVersion="6" ma:contentTypeDescription="Create a new document." ma:contentTypeScope="" ma:versionID="aeb6dedf93a70585c80d1d9fae32968b">
  <xsd:schema xmlns:xsd="http://www.w3.org/2001/XMLSchema" xmlns:xs="http://www.w3.org/2001/XMLSchema" xmlns:p="http://schemas.microsoft.com/office/2006/metadata/properties" xmlns:ns2="b81d472e-f5b5-414e-961d-1abb5d9dbf6a" xmlns:ns3="353ebf5b-216a-4668-b5b2-6538a9d2a4e0" targetNamespace="http://schemas.microsoft.com/office/2006/metadata/properties" ma:root="true" ma:fieldsID="068c78674dbbd0f37f426327177df376" ns2:_="" ns3:_="">
    <xsd:import namespace="b81d472e-f5b5-414e-961d-1abb5d9dbf6a"/>
    <xsd:import namespace="353ebf5b-216a-4668-b5b2-6538a9d2a4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d472e-f5b5-414e-961d-1abb5d9dbf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ebf5b-216a-4668-b5b2-6538a9d2a4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CCD4BA-D8F1-4613-BB11-99FF1CF18B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1d472e-f5b5-414e-961d-1abb5d9dbf6a"/>
    <ds:schemaRef ds:uri="353ebf5b-216a-4668-b5b2-6538a9d2a4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3A9A1E-44AE-44D9-88E7-C0538616FC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30A5C7-B735-46A8-AC4A-0E125055500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exFactory Demand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Jones</dc:creator>
  <cp:lastModifiedBy>Matt Jones</cp:lastModifiedBy>
  <dcterms:created xsi:type="dcterms:W3CDTF">2025-12-30T20:53:26Z</dcterms:created>
  <dcterms:modified xsi:type="dcterms:W3CDTF">2026-01-02T16:03:10Z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0x010100B5C00B471ABA684593EDAFC4A9DBFCAC</vt:lpwstr>
  </property>
</Properties>
</file>