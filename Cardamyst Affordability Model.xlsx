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0.0%"/>
    <numFmt numFmtId="167" formatCode="#,##0.0"/>
    <numFmt numFmtId="168" formatCode="+0.00%;-0.00%"/>
  </numFmts>
  <fonts count="19">
    <font>
      <name val="Calibri"/>
      <family val="2"/>
      <color theme="1"/>
      <sz val="11"/>
      <scheme val="minor"/>
    </font>
    <font>
      <name val="Calibri"/>
      <b val="1"/>
      <color rgb="00172852"/>
      <sz val="20"/>
    </font>
    <font>
      <name val="Calibri"/>
      <i val="1"/>
      <color rgb="0054575E"/>
      <sz val="12"/>
    </font>
    <font>
      <name val="Calibri"/>
      <b val="1"/>
      <color rgb="00172852"/>
      <sz val="11"/>
    </font>
    <font>
      <name val="Calibri"/>
      <b val="1"/>
      <color rgb="00FFFFFF"/>
      <sz val="12"/>
    </font>
    <font>
      <name val="Calibri"/>
      <sz val="10"/>
    </font>
    <font>
      <name val="Calibri"/>
      <b val="1"/>
      <color rgb="000D7AB5"/>
      <sz val="11"/>
    </font>
    <font>
      <name val="Calibri"/>
      <b val="1"/>
      <sz val="10"/>
    </font>
    <font>
      <name val="Calibri"/>
      <i val="1"/>
      <color rgb="0054575E"/>
      <sz val="9"/>
    </font>
    <font>
      <name val="Calibri"/>
      <b val="1"/>
      <color rgb="00172852"/>
      <sz val="18"/>
    </font>
    <font>
      <name val="Calibri"/>
      <i val="1"/>
      <color rgb="00E31D93"/>
      <sz val="11"/>
    </font>
    <font>
      <name val="Calibri"/>
      <i val="1"/>
      <sz val="9"/>
    </font>
    <font>
      <name val="Calibri"/>
      <b val="1"/>
      <color rgb="00E31D93"/>
      <sz val="9"/>
    </font>
    <font>
      <name val="Calibri"/>
      <b val="1"/>
      <color rgb="00172852"/>
      <sz val="14"/>
    </font>
    <font>
      <name val="Calibri"/>
      <b val="1"/>
      <color rgb="00FFFFFF"/>
      <sz val="11"/>
    </font>
    <font>
      <name val="Calibri"/>
      <b val="1"/>
      <color rgb="00E31D93"/>
      <sz val="10"/>
    </font>
    <font>
      <name val="Calibri"/>
      <b val="1"/>
      <sz val="11"/>
    </font>
    <font>
      <name val="Calibri"/>
      <i val="1"/>
      <color rgb="0054575E"/>
      <sz val="11"/>
    </font>
    <font>
      <name val="Calibri"/>
      <b val="1"/>
      <color rgb="00E31D93"/>
      <sz val="12"/>
    </font>
  </fonts>
  <fills count="8">
    <fill>
      <patternFill/>
    </fill>
    <fill>
      <patternFill patternType="gray125"/>
    </fill>
    <fill>
      <patternFill patternType="solid">
        <fgColor rgb="00172852"/>
        <bgColor rgb="00172852"/>
      </patternFill>
    </fill>
    <fill>
      <patternFill patternType="solid">
        <fgColor rgb="00DCEEF4"/>
        <bgColor rgb="00DCEEF4"/>
      </patternFill>
    </fill>
    <fill>
      <patternFill patternType="solid">
        <fgColor rgb="0071B4BE"/>
        <bgColor rgb="0071B4BE"/>
      </patternFill>
    </fill>
    <fill>
      <patternFill patternType="solid">
        <fgColor rgb="00E0E0E0"/>
        <bgColor rgb="00E0E0E0"/>
      </patternFill>
    </fill>
    <fill>
      <patternFill patternType="solid">
        <fgColor rgb="0000B2E3"/>
        <bgColor rgb="0000B2E3"/>
      </patternFill>
    </fill>
    <fill>
      <patternFill patternType="solid">
        <fgColor rgb="00E31D93"/>
        <bgColor rgb="00E31D93"/>
      </patternFill>
    </fill>
  </fills>
  <borders count="3">
    <border>
      <left/>
      <right/>
      <top/>
      <bottom/>
      <diagonal/>
    </border>
    <border>
      <left style="medium">
        <color rgb="00172852"/>
      </left>
      <right style="medium">
        <color rgb="00172852"/>
      </right>
      <top style="medium">
        <color rgb="00172852"/>
      </top>
      <bottom style="medium">
        <color rgb="00172852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0" fontId="6" fillId="0" borderId="0" pivotButton="0" quotePrefix="0" xfId="0"/>
    <xf numFmtId="10" fontId="7" fillId="0" borderId="0" pivotButton="0" quotePrefix="0" xfId="0"/>
    <xf numFmtId="164" fontId="6" fillId="0" borderId="0" pivotButton="0" quotePrefix="0" xfId="0"/>
    <xf numFmtId="0" fontId="5" fillId="3" borderId="0" pivotButton="0" quotePrefix="0" xfId="0"/>
    <xf numFmtId="165" fontId="6" fillId="3" borderId="0" pivotButton="0" quotePrefix="0" xfId="0"/>
    <xf numFmtId="166" fontId="6" fillId="3" borderId="0" pivotButton="0" quotePrefix="0" xfId="0"/>
    <xf numFmtId="0" fontId="4" fillId="4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164" fontId="6" fillId="3" borderId="1" pivotButton="0" quotePrefix="0" xfId="0"/>
    <xf numFmtId="166" fontId="6" fillId="3" borderId="1" pivotButton="0" quotePrefix="0" xfId="0"/>
    <xf numFmtId="0" fontId="11" fillId="0" borderId="0" pivotButton="0" quotePrefix="0" xfId="0"/>
    <xf numFmtId="0" fontId="12" fillId="0" borderId="0" pivotButton="0" quotePrefix="0" xfId="0"/>
    <xf numFmtId="165" fontId="6" fillId="3" borderId="1" pivotButton="0" quotePrefix="0" xfId="0"/>
    <xf numFmtId="164" fontId="5" fillId="5" borderId="0" pivotButton="0" quotePrefix="0" xfId="0"/>
    <xf numFmtId="0" fontId="6" fillId="3" borderId="1" pivotButton="0" quotePrefix="0" xfId="0"/>
    <xf numFmtId="166" fontId="6" fillId="3" borderId="2" pivotButton="0" quotePrefix="0" xfId="0"/>
    <xf numFmtId="0" fontId="13" fillId="0" borderId="0" pivotButton="0" quotePrefix="0" xfId="0"/>
    <xf numFmtId="0" fontId="4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167" fontId="0" fillId="5" borderId="0" pivotButton="0" quotePrefix="0" xfId="0"/>
    <xf numFmtId="167" fontId="0" fillId="3" borderId="0" pivotButton="0" quotePrefix="0" xfId="0"/>
    <xf numFmtId="166" fontId="0" fillId="5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3" fillId="6" borderId="0" pivotButton="0" quotePrefix="0" xfId="0"/>
    <xf numFmtId="10" fontId="0" fillId="6" borderId="0" pivotButton="0" quotePrefix="0" xfId="0"/>
    <xf numFmtId="0" fontId="3" fillId="4" borderId="0" pivotButton="0" quotePrefix="0" xfId="0"/>
    <xf numFmtId="164" fontId="0" fillId="4" borderId="0" pivotButton="0" quotePrefix="0" xfId="0"/>
    <xf numFmtId="164" fontId="4" fillId="2" borderId="0" pivotButton="0" quotePrefix="0" xfId="0"/>
    <xf numFmtId="0" fontId="4" fillId="7" borderId="0" pivotButton="0" quotePrefix="0" xfId="0"/>
    <xf numFmtId="10" fontId="14" fillId="7" borderId="0" pivotButton="0" quotePrefix="0" xfId="0"/>
    <xf numFmtId="0" fontId="15" fillId="0" borderId="0" pivotButton="0" quotePrefix="0" xfId="0"/>
    <xf numFmtId="164" fontId="16" fillId="0" borderId="0" pivotButton="0" quotePrefix="0" xfId="0"/>
    <xf numFmtId="0" fontId="17" fillId="0" borderId="0" pivotButton="0" quotePrefix="0" xfId="0"/>
    <xf numFmtId="164" fontId="6" fillId="3" borderId="2" pivotButton="0" quotePrefix="0" xfId="0"/>
    <xf numFmtId="0" fontId="4" fillId="7" borderId="0" applyAlignment="1" pivotButton="0" quotePrefix="0" xfId="0">
      <alignment horizontal="center"/>
    </xf>
    <xf numFmtId="166" fontId="6" fillId="0" borderId="0" pivotButton="0" quotePrefix="0" xfId="0"/>
    <xf numFmtId="0" fontId="7" fillId="5" borderId="0" pivotButton="0" quotePrefix="0" xfId="0"/>
    <xf numFmtId="9" fontId="0" fillId="3" borderId="0" pivotButton="0" quotePrefix="0" xfId="0"/>
    <xf numFmtId="168" fontId="0" fillId="0" borderId="0" pivotButton="0" quotePrefix="0" xfId="0"/>
    <xf numFmtId="0" fontId="14" fillId="7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I31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5" customWidth="1" min="4" max="4"/>
    <col width="10" customWidth="1" min="6" max="6"/>
    <col width="12" customWidth="1" min="7" max="7"/>
  </cols>
  <sheetData>
    <row r="4">
      <c r="A4" s="1" t="inlineStr">
        <is>
          <t>AFFORDABILITY MODEL DASHBOARD</t>
        </is>
      </c>
    </row>
    <row r="5">
      <c r="A5" s="2" t="inlineStr">
        <is>
          <t>Real-Time Summary of Gross-to-Net Exposure</t>
        </is>
      </c>
    </row>
    <row r="7">
      <c r="A7" s="3" t="inlineStr">
        <is>
          <t>KEY METRICS</t>
        </is>
      </c>
      <c r="F7" s="3" t="inlineStr">
        <is>
          <t>MONTHLY GTN % TREND</t>
        </is>
      </c>
    </row>
    <row r="8">
      <c r="A8" s="4" t="inlineStr">
        <is>
          <t>Annual GTN % (Copay/Denial)</t>
        </is>
      </c>
      <c r="C8" s="5">
        <f>IFERROR(SUM('Model'!E35:P36)/SUM('Model'!E32:P32),0)</f>
        <v/>
      </c>
      <c r="F8" s="4" t="inlineStr">
        <is>
          <t>Jan</t>
        </is>
      </c>
      <c r="G8" s="6">
        <f>'Model'!E33</f>
        <v/>
      </c>
    </row>
    <row r="9">
      <c r="A9" s="4" t="inlineStr">
        <is>
          <t>Total Program Costs</t>
        </is>
      </c>
      <c r="C9" s="7">
        <f>SUM('Model'!Q35:Q36)</f>
        <v/>
      </c>
      <c r="F9" s="4" t="inlineStr">
        <is>
          <t>Feb</t>
        </is>
      </c>
      <c r="G9" s="6">
        <f>'Model'!F33</f>
        <v/>
      </c>
    </row>
    <row r="10">
      <c r="A10" s="4" t="inlineStr">
        <is>
          <t>Total Covered Program Costs</t>
        </is>
      </c>
      <c r="C10" s="7">
        <f>'Model'!Q35</f>
        <v/>
      </c>
      <c r="F10" s="4" t="inlineStr">
        <is>
          <t>Mar</t>
        </is>
      </c>
      <c r="G10" s="6">
        <f>'Model'!G33</f>
        <v/>
      </c>
    </row>
    <row r="11">
      <c r="A11" s="4" t="inlineStr">
        <is>
          <t>Total Not Covered Program Costs</t>
        </is>
      </c>
      <c r="C11" s="7">
        <f>'Model'!Q36</f>
        <v/>
      </c>
      <c r="F11" s="4" t="inlineStr">
        <is>
          <t>Apr</t>
        </is>
      </c>
      <c r="G11" s="6">
        <f>'Model'!H33</f>
        <v/>
      </c>
    </row>
    <row r="12">
      <c r="A12" s="4" t="inlineStr">
        <is>
          <t>Gross Demand Sales (Annual)</t>
        </is>
      </c>
      <c r="C12" s="7">
        <f>SUM('Model'!E32:P32)</f>
        <v/>
      </c>
      <c r="F12" s="4" t="inlineStr">
        <is>
          <t>May</t>
        </is>
      </c>
      <c r="G12" s="6">
        <f>'Model'!I33</f>
        <v/>
      </c>
    </row>
    <row r="13">
      <c r="A13" s="4" t="inlineStr">
        <is>
          <t>Net Sales (After GTN)</t>
        </is>
      </c>
      <c r="C13" s="7">
        <f>SUM('Model'!E32:P32)-SUM('Model'!Q35:Q36)</f>
        <v/>
      </c>
      <c r="F13" s="4" t="inlineStr">
        <is>
          <t>Jun</t>
        </is>
      </c>
      <c r="G13" s="6">
        <f>'Model'!J33</f>
        <v/>
      </c>
    </row>
    <row r="14">
      <c r="F14" s="4" t="inlineStr">
        <is>
          <t>Jul</t>
        </is>
      </c>
      <c r="G14" s="6">
        <f>'Model'!K33</f>
        <v/>
      </c>
    </row>
    <row r="15">
      <c r="A15" s="3" t="inlineStr">
        <is>
          <t>CURRENT ASSUMPTIONS (Edit in 'Assumptions' Sheet)</t>
        </is>
      </c>
      <c r="F15" s="4" t="inlineStr">
        <is>
          <t>Aug</t>
        </is>
      </c>
      <c r="G15" s="6">
        <f>'Model'!L33</f>
        <v/>
      </c>
    </row>
    <row r="16">
      <c r="A16" s="8" t="inlineStr">
        <is>
          <t>WAC Price</t>
        </is>
      </c>
      <c r="C16" s="9">
        <f>Assumptions!C8</f>
        <v/>
      </c>
      <c r="F16" s="4" t="inlineStr">
        <is>
          <t>Sep</t>
        </is>
      </c>
      <c r="G16" s="6">
        <f>'Model'!M33</f>
        <v/>
      </c>
    </row>
    <row r="17">
      <c r="A17" s="8" t="inlineStr">
        <is>
          <t>Pay No More Than</t>
        </is>
      </c>
      <c r="C17" s="9">
        <f>Assumptions!C9</f>
        <v/>
      </c>
      <c r="F17" s="4" t="inlineStr">
        <is>
          <t>Oct</t>
        </is>
      </c>
      <c r="G17" s="6">
        <f>'Model'!N33</f>
        <v/>
      </c>
    </row>
    <row r="18">
      <c r="A18" s="8" t="inlineStr">
        <is>
          <t>Redemption Rate</t>
        </is>
      </c>
      <c r="C18" s="10">
        <f>Assumptions!C10</f>
        <v/>
      </c>
      <c r="F18" s="4" t="inlineStr">
        <is>
          <t>Nov</t>
        </is>
      </c>
      <c r="G18" s="6">
        <f>'Model'!O33</f>
        <v/>
      </c>
    </row>
    <row r="19">
      <c r="A19" s="8" t="inlineStr">
        <is>
          <t>Medical Exception Pullthrough</t>
        </is>
      </c>
      <c r="C19" s="10">
        <f>Assumptions!C11</f>
        <v/>
      </c>
      <c r="F19" s="4" t="inlineStr">
        <is>
          <t>Dec</t>
        </is>
      </c>
      <c r="G19" s="6">
        <f>'Model'!P33</f>
        <v/>
      </c>
    </row>
    <row r="20">
      <c r="A20" s="8" t="inlineStr">
        <is>
          <t>Copay Mix</t>
        </is>
      </c>
      <c r="C20" s="10">
        <f>Assumptions!C14</f>
        <v/>
      </c>
    </row>
    <row r="21">
      <c r="A21" s="8" t="inlineStr">
        <is>
          <t>Coinsurance Mix</t>
        </is>
      </c>
      <c r="C21" s="10">
        <f>Assumptions!C15</f>
        <v/>
      </c>
    </row>
    <row r="22">
      <c r="A22" s="8" t="inlineStr">
        <is>
          <t>Copay Amount (Tier 3)</t>
        </is>
      </c>
      <c r="C22" s="9">
        <f>Assumptions!C18</f>
        <v/>
      </c>
    </row>
    <row r="23">
      <c r="A23" s="8" t="inlineStr">
        <is>
          <t>Coinsurance Rate (Tier 3)</t>
        </is>
      </c>
      <c r="C23" s="10">
        <f>Assumptions!C19</f>
        <v/>
      </c>
    </row>
    <row r="26">
      <c r="A26" s="11" t="inlineStr">
        <is>
          <t>IMPACT ANALYSIS: Covered vs Not Covered</t>
        </is>
      </c>
    </row>
    <row r="27">
      <c r="A27" t="inlineStr">
        <is>
          <t>% of Claims Covered (Annual Avg)</t>
        </is>
      </c>
      <c r="C27" s="12">
        <f>AVERAGE('Model'!E8:P8)</f>
        <v/>
      </c>
    </row>
    <row r="28">
      <c r="A28" t="inlineStr">
        <is>
          <t>Avg Buydown per Covered Rx</t>
        </is>
      </c>
      <c r="C28" s="13">
        <f>IFERROR(SUM('Model'!E35:P35)/SUM('Model'!E4:P4),0)</f>
        <v/>
      </c>
    </row>
    <row r="29">
      <c r="A29" t="inlineStr">
        <is>
          <t>Avg Buydown per Not Covered Rx</t>
        </is>
      </c>
      <c r="C29" s="13">
        <f>IFERROR(SUM('Model'!E36:P36)/SUM('Model'!E6:P6),0)</f>
        <v/>
      </c>
    </row>
    <row r="30">
      <c r="A30" t="inlineStr">
        <is>
          <t>Coverage Impact on GTN</t>
        </is>
      </c>
    </row>
    <row r="31">
      <c r="A31" s="14" t="inlineStr">
        <is>
          <t>(Higher coverage = Lower GTN)</t>
        </is>
      </c>
    </row>
  </sheetData>
  <mergeCells count="21">
    <mergeCell ref="A30:B30"/>
    <mergeCell ref="A11:B11"/>
    <mergeCell ref="A16:B16"/>
    <mergeCell ref="A15:D15"/>
    <mergeCell ref="A18:B18"/>
    <mergeCell ref="A12:B12"/>
    <mergeCell ref="A21:B21"/>
    <mergeCell ref="F7:I7"/>
    <mergeCell ref="A7:D7"/>
    <mergeCell ref="A23:B23"/>
    <mergeCell ref="A17:B17"/>
    <mergeCell ref="A5:H5"/>
    <mergeCell ref="A8:B8"/>
    <mergeCell ref="A22:B22"/>
    <mergeCell ref="A4:H4"/>
    <mergeCell ref="A20:B20"/>
    <mergeCell ref="A19:B19"/>
    <mergeCell ref="A26:D26"/>
    <mergeCell ref="A10:B10"/>
    <mergeCell ref="A13:B13"/>
    <mergeCell ref="A9:B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4:F53"/>
  <sheetViews>
    <sheetView workbookViewId="0">
      <selection activeCell="A1" sqref="A1"/>
    </sheetView>
  </sheetViews>
  <sheetFormatPr baseColWidth="8" defaultRowHeight="15"/>
  <cols>
    <col width="30" customWidth="1" min="1" max="1"/>
    <col width="5" customWidth="1" min="2" max="2"/>
    <col width="15" customWidth="1" min="3" max="3"/>
    <col width="40" customWidth="1" min="4" max="4"/>
  </cols>
  <sheetData>
    <row r="4">
      <c r="A4" s="15" t="inlineStr">
        <is>
          <t>MODEL ASSUMPTIONS</t>
        </is>
      </c>
    </row>
    <row r="5">
      <c r="A5" s="16" t="inlineStr">
        <is>
          <t>Edit the BLUE cells to change assumptions - Dashboard and Model will update automatically</t>
        </is>
      </c>
    </row>
    <row r="7">
      <c r="A7" s="3" t="inlineStr">
        <is>
          <t>PRICING &amp; PROGRAM RULES</t>
        </is>
      </c>
    </row>
    <row r="8">
      <c r="A8" s="17" t="inlineStr">
        <is>
          <t>WAC Price</t>
        </is>
      </c>
      <c r="B8" t="inlineStr">
        <is>
          <t>→</t>
        </is>
      </c>
      <c r="C8" s="18" t="n">
        <v>1649</v>
      </c>
      <c r="D8" s="14" t="inlineStr">
        <is>
          <t>Static for 12 months, but adjustable</t>
        </is>
      </c>
    </row>
    <row r="9">
      <c r="A9" s="17" t="inlineStr">
        <is>
          <t>Pay No More Than</t>
        </is>
      </c>
      <c r="B9" t="inlineStr">
        <is>
          <t>→</t>
        </is>
      </c>
      <c r="C9" s="18" t="n">
        <v>25</v>
      </c>
      <c r="D9" s="14" t="inlineStr">
        <is>
          <t>Patient maximum out-of-pocket</t>
        </is>
      </c>
    </row>
    <row r="10">
      <c r="A10" s="17" t="inlineStr">
        <is>
          <t>Redemption Rate</t>
        </is>
      </c>
      <c r="B10" t="inlineStr">
        <is>
          <t>→</t>
        </is>
      </c>
      <c r="C10" s="19" t="n">
        <v>0.8</v>
      </c>
      <c r="D10" s="14" t="inlineStr">
        <is>
          <t>Program redemption rate</t>
        </is>
      </c>
    </row>
    <row r="11">
      <c r="A11" s="17" t="inlineStr">
        <is>
          <t>Medical Exception Pullthrough</t>
        </is>
      </c>
      <c r="B11" t="inlineStr">
        <is>
          <t>→</t>
        </is>
      </c>
      <c r="C11" s="19" t="n">
        <v>0</v>
      </c>
      <c r="D11" s="14" t="inlineStr">
        <is>
          <t>Rate of exceptions approved</t>
        </is>
      </c>
    </row>
    <row r="13">
      <c r="A13" s="3" t="inlineStr">
        <is>
          <t>COST SHARING MIX (Must Sum to 100%)</t>
        </is>
      </c>
    </row>
    <row r="14">
      <c r="A14" s="17" t="inlineStr">
        <is>
          <t>Copay Mix %</t>
        </is>
      </c>
      <c r="C14" s="19" t="n">
        <v>0.8</v>
      </c>
      <c r="D14" s="14" t="inlineStr">
        <is>
          <t>% of patients with copay structure</t>
        </is>
      </c>
    </row>
    <row r="15">
      <c r="A15" s="17" t="inlineStr">
        <is>
          <t>Coinsurance Mix %</t>
        </is>
      </c>
      <c r="C15" s="19" t="n">
        <v>0.2</v>
      </c>
      <c r="D15" s="14" t="inlineStr">
        <is>
          <t>% of patients with coinsurance structure</t>
        </is>
      </c>
    </row>
    <row r="16">
      <c r="A16" s="20" t="inlineStr">
        <is>
          <t>Validation:</t>
        </is>
      </c>
      <c r="C16" s="21">
        <f>IF(C14+C15=1,"✓ Valid","⚠ Must = 100%")</f>
        <v/>
      </c>
    </row>
    <row r="18">
      <c r="A18" s="3" t="inlineStr">
        <is>
          <t>COST SHARING AMOUNTS</t>
        </is>
      </c>
    </row>
    <row r="19">
      <c r="A19" t="inlineStr">
        <is>
          <t>Copay Amount (Tier 3)</t>
        </is>
      </c>
      <c r="C19" s="18" t="n">
        <v>65</v>
      </c>
      <c r="D19" s="14" t="inlineStr">
        <is>
          <t>Fixed copay for Tier 3 drugs</t>
        </is>
      </c>
    </row>
    <row r="20">
      <c r="A20" t="inlineStr">
        <is>
          <t>Coinsurance Rate (Tier 3)</t>
        </is>
      </c>
      <c r="C20" s="19" t="n">
        <v>0.35</v>
      </c>
      <c r="D20" s="14" t="inlineStr">
        <is>
          <t>% of WAC patient pays</t>
        </is>
      </c>
    </row>
    <row r="22">
      <c r="A22" s="3" t="inlineStr">
        <is>
          <t>NOT COVERED BENEFIT</t>
        </is>
      </c>
    </row>
    <row r="23">
      <c r="A23" t="inlineStr">
        <is>
          <t>Not Covered Buydown Amount</t>
        </is>
      </c>
      <c r="C23" s="22" t="n">
        <v>1764.175</v>
      </c>
      <c r="D23" s="14" t="inlineStr">
        <is>
          <t>Amount to buy down to patient target (e.g., $35)</t>
        </is>
      </c>
    </row>
    <row r="24">
      <c r="A24" t="inlineStr">
        <is>
          <t>Patient Target (Not Covered)</t>
        </is>
      </c>
      <c r="C24" s="23" t="n">
        <v>35</v>
      </c>
      <c r="D24" s="14">
        <f>C8-C23 (WAC minus buydown)</f>
        <v/>
      </c>
    </row>
    <row r="26">
      <c r="A26" s="3" t="inlineStr">
        <is>
          <t>DEDUCTIBLE PROGRESSION (% Met by Month)</t>
        </is>
      </c>
    </row>
    <row r="27">
      <c r="A27" t="inlineStr">
        <is>
          <t>Avg Days to Deductible</t>
        </is>
      </c>
      <c r="C27" s="24" t="n">
        <v>154</v>
      </c>
      <c r="D27" s="14" t="inlineStr">
        <is>
          <t>Based on KFF data</t>
        </is>
      </c>
    </row>
    <row r="28">
      <c r="A28" s="4" t="inlineStr">
        <is>
          <t>Jan</t>
        </is>
      </c>
      <c r="C28" s="25" t="n">
        <v>0.03</v>
      </c>
    </row>
    <row r="29">
      <c r="A29" s="4" t="inlineStr">
        <is>
          <t>Feb</t>
        </is>
      </c>
      <c r="C29" s="25" t="n">
        <v>0.11</v>
      </c>
    </row>
    <row r="30">
      <c r="A30" s="4" t="inlineStr">
        <is>
          <t>Mar</t>
        </is>
      </c>
      <c r="C30" s="25" t="n">
        <v>0.2</v>
      </c>
    </row>
    <row r="31">
      <c r="A31" s="4" t="inlineStr">
        <is>
          <t>Apr</t>
        </is>
      </c>
      <c r="C31" s="25" t="n">
        <v>0.295</v>
      </c>
    </row>
    <row r="32">
      <c r="A32" s="4" t="inlineStr">
        <is>
          <t>May</t>
        </is>
      </c>
      <c r="C32" s="25" t="n">
        <v>0.395</v>
      </c>
    </row>
    <row r="33">
      <c r="A33" s="4" t="inlineStr">
        <is>
          <t>Jun</t>
        </is>
      </c>
      <c r="C33" s="25" t="n">
        <v>0.495</v>
      </c>
    </row>
    <row r="34">
      <c r="A34" s="4" t="inlineStr">
        <is>
          <t>Jul</t>
        </is>
      </c>
      <c r="C34" s="25" t="n">
        <v>0.595</v>
      </c>
    </row>
    <row r="35">
      <c r="A35" s="4" t="inlineStr">
        <is>
          <t>Aug</t>
        </is>
      </c>
      <c r="C35" s="25" t="n">
        <v>0.6899999999999999</v>
      </c>
    </row>
    <row r="36">
      <c r="A36" s="4" t="inlineStr">
        <is>
          <t>Sep</t>
        </is>
      </c>
      <c r="C36" s="25" t="n">
        <v>0.785</v>
      </c>
    </row>
    <row r="37">
      <c r="A37" s="4" t="inlineStr">
        <is>
          <t>Oct</t>
        </is>
      </c>
      <c r="C37" s="25" t="n">
        <v>0.885</v>
      </c>
    </row>
    <row r="38">
      <c r="A38" s="4" t="inlineStr">
        <is>
          <t>Nov</t>
        </is>
      </c>
      <c r="C38" s="25" t="n">
        <v>0.949</v>
      </c>
    </row>
    <row r="39">
      <c r="A39" s="4" t="inlineStr">
        <is>
          <t>Dec</t>
        </is>
      </c>
      <c r="C39" s="25" t="n">
        <v>0.95</v>
      </c>
    </row>
    <row r="41">
      <c r="A41" s="3" t="inlineStr">
        <is>
          <t>PAYER MIX (Commercial %)</t>
        </is>
      </c>
    </row>
    <row r="42">
      <c r="A42" s="4" t="inlineStr">
        <is>
          <t>Jan</t>
        </is>
      </c>
      <c r="C42" s="25" t="n">
        <v>0.96</v>
      </c>
    </row>
    <row r="43">
      <c r="A43" s="4" t="inlineStr">
        <is>
          <t>Feb</t>
        </is>
      </c>
      <c r="C43" s="25" t="n">
        <v>0.96</v>
      </c>
    </row>
    <row r="44">
      <c r="A44" s="4" t="inlineStr">
        <is>
          <t>Mar</t>
        </is>
      </c>
      <c r="C44" s="25" t="n">
        <v>0.96</v>
      </c>
    </row>
    <row r="45">
      <c r="A45" s="4" t="inlineStr">
        <is>
          <t>Apr</t>
        </is>
      </c>
      <c r="C45" s="25" t="n">
        <v>0.95</v>
      </c>
    </row>
    <row r="46">
      <c r="A46" s="4" t="inlineStr">
        <is>
          <t>May</t>
        </is>
      </c>
      <c r="C46" s="25" t="n">
        <v>0.95</v>
      </c>
    </row>
    <row r="47">
      <c r="A47" s="4" t="inlineStr">
        <is>
          <t>Jun</t>
        </is>
      </c>
      <c r="C47" s="25" t="n">
        <v>0.95</v>
      </c>
    </row>
    <row r="48">
      <c r="A48" s="4" t="inlineStr">
        <is>
          <t>Jul</t>
        </is>
      </c>
      <c r="C48" s="25" t="n">
        <v>0.9</v>
      </c>
    </row>
    <row r="49">
      <c r="A49" s="4" t="inlineStr">
        <is>
          <t>Aug</t>
        </is>
      </c>
      <c r="C49" s="25" t="n">
        <v>0.9</v>
      </c>
    </row>
    <row r="50">
      <c r="A50" s="4" t="inlineStr">
        <is>
          <t>Sep</t>
        </is>
      </c>
      <c r="C50" s="25" t="n">
        <v>0.9</v>
      </c>
    </row>
    <row r="51">
      <c r="A51" s="4" t="inlineStr">
        <is>
          <t>Oct</t>
        </is>
      </c>
      <c r="C51" s="25" t="n">
        <v>0.9</v>
      </c>
    </row>
    <row r="52">
      <c r="A52" s="4" t="inlineStr">
        <is>
          <t>Nov</t>
        </is>
      </c>
      <c r="C52" s="25" t="n">
        <v>0.9</v>
      </c>
    </row>
    <row r="53">
      <c r="A53" s="4" t="inlineStr">
        <is>
          <t>Dec</t>
        </is>
      </c>
      <c r="C53" s="25" t="n">
        <v>0.9</v>
      </c>
    </row>
  </sheetData>
  <mergeCells count="8">
    <mergeCell ref="A18:D18"/>
    <mergeCell ref="A22:D22"/>
    <mergeCell ref="A4:D4"/>
    <mergeCell ref="A5:F5"/>
    <mergeCell ref="A26:D26"/>
    <mergeCell ref="A7:D7"/>
    <mergeCell ref="A41:D41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D1:Q37"/>
  <sheetViews>
    <sheetView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3" customWidth="1" min="3" max="3"/>
    <col width="3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D1" s="26" t="inlineStr">
        <is>
          <t>DETAILED AFFORDABILITY MODEL</t>
        </is>
      </c>
    </row>
    <row r="2">
      <c r="E2" s="27" t="n">
        <v>2026</v>
      </c>
    </row>
    <row r="3">
      <c r="E3" s="28" t="inlineStr">
        <is>
          <t>Jan</t>
        </is>
      </c>
      <c r="F3" s="28" t="inlineStr">
        <is>
          <t>Feb</t>
        </is>
      </c>
      <c r="G3" s="28" t="inlineStr">
        <is>
          <t>Mar</t>
        </is>
      </c>
      <c r="H3" s="28" t="inlineStr">
        <is>
          <t>Apr</t>
        </is>
      </c>
      <c r="I3" s="28" t="inlineStr">
        <is>
          <t>May</t>
        </is>
      </c>
      <c r="J3" s="28" t="inlineStr">
        <is>
          <t>Jun</t>
        </is>
      </c>
      <c r="K3" s="28" t="inlineStr">
        <is>
          <t>Jul</t>
        </is>
      </c>
      <c r="L3" s="28" t="inlineStr">
        <is>
          <t>Aug</t>
        </is>
      </c>
      <c r="M3" s="28" t="inlineStr">
        <is>
          <t>Sep</t>
        </is>
      </c>
      <c r="N3" s="28" t="inlineStr">
        <is>
          <t>Oct</t>
        </is>
      </c>
      <c r="O3" s="28" t="inlineStr">
        <is>
          <t>Nov</t>
        </is>
      </c>
      <c r="P3" s="28" t="inlineStr">
        <is>
          <t>Dec</t>
        </is>
      </c>
      <c r="Q3" s="3" t="inlineStr">
        <is>
          <t>Notes</t>
        </is>
      </c>
    </row>
    <row r="4">
      <c r="D4" s="17" t="inlineStr">
        <is>
          <t>TRx Forecast (Covered Commercial)</t>
        </is>
      </c>
      <c r="E4" s="29" t="n">
        <v>0</v>
      </c>
      <c r="F4" s="29" t="n">
        <v>50.23</v>
      </c>
      <c r="G4" s="29" t="n">
        <v>83.78</v>
      </c>
      <c r="H4" s="29" t="n">
        <v>131.82</v>
      </c>
      <c r="I4" s="29" t="n">
        <v>300.71</v>
      </c>
      <c r="J4" s="29" t="n">
        <v>667.02</v>
      </c>
      <c r="K4" s="29" t="n">
        <v>1151.06</v>
      </c>
      <c r="L4" s="29" t="n">
        <v>1505.31</v>
      </c>
      <c r="M4" s="29" t="n">
        <v>1940.22</v>
      </c>
      <c r="N4" s="29" t="n">
        <v>2448.98</v>
      </c>
      <c r="O4" s="29" t="n">
        <v>2812.1</v>
      </c>
      <c r="P4" s="29" t="n">
        <v>3322.67</v>
      </c>
      <c r="Q4" s="14" t="inlineStr">
        <is>
          <t>From Demand Forecast</t>
        </is>
      </c>
    </row>
    <row r="5">
      <c r="D5" s="17" t="inlineStr">
        <is>
          <t>TRx Insights Program</t>
        </is>
      </c>
      <c r="E5" s="30" t="n">
        <v>0</v>
      </c>
      <c r="F5" s="30" t="n">
        <v>0</v>
      </c>
      <c r="G5" s="30" t="n">
        <v>0</v>
      </c>
      <c r="H5" s="30" t="n">
        <v>0</v>
      </c>
      <c r="I5" s="30" t="n">
        <v>0</v>
      </c>
      <c r="J5" s="30" t="n">
        <v>0</v>
      </c>
      <c r="K5" s="30" t="n">
        <v>0</v>
      </c>
      <c r="L5" s="30" t="n">
        <v>0</v>
      </c>
      <c r="M5" s="30" t="n">
        <v>0</v>
      </c>
      <c r="N5" s="30" t="n">
        <v>0</v>
      </c>
      <c r="O5" s="30" t="n">
        <v>0</v>
      </c>
      <c r="P5" s="30" t="n">
        <v>0</v>
      </c>
    </row>
    <row r="6">
      <c r="D6" s="17" t="inlineStr">
        <is>
          <t>TRx Forecast (Not Covered Commercial)</t>
        </is>
      </c>
      <c r="E6" s="29" t="n">
        <v>0</v>
      </c>
      <c r="F6" s="29" t="n">
        <v>64.58</v>
      </c>
      <c r="G6" s="29" t="n">
        <v>104</v>
      </c>
      <c r="H6" s="29" t="n">
        <v>158.18</v>
      </c>
      <c r="I6" s="29" t="n">
        <v>199.99</v>
      </c>
      <c r="J6" s="29" t="n">
        <v>192.77</v>
      </c>
      <c r="K6" s="29" t="n">
        <v>194.47</v>
      </c>
      <c r="L6" s="29" t="n">
        <v>249.11</v>
      </c>
      <c r="M6" s="29" t="n">
        <v>350.07</v>
      </c>
      <c r="N6" s="29" t="n">
        <v>191</v>
      </c>
      <c r="O6" s="29" t="n">
        <v>281.41</v>
      </c>
      <c r="P6" s="29" t="n">
        <v>359.88</v>
      </c>
      <c r="Q6" s="14" t="inlineStr">
        <is>
          <t>From Demand Forecast</t>
        </is>
      </c>
    </row>
    <row r="7">
      <c r="D7" s="17" t="inlineStr">
        <is>
          <t>Payer Mix (Commercial)</t>
        </is>
      </c>
      <c r="E7" s="31">
        <f>Assumptions!C42</f>
        <v/>
      </c>
      <c r="F7" s="31">
        <f>Assumptions!C43</f>
        <v/>
      </c>
      <c r="G7" s="31">
        <f>Assumptions!C44</f>
        <v/>
      </c>
      <c r="H7" s="31">
        <f>Assumptions!C45</f>
        <v/>
      </c>
      <c r="I7" s="31">
        <f>Assumptions!C46</f>
        <v/>
      </c>
      <c r="J7" s="31">
        <f>Assumptions!C47</f>
        <v/>
      </c>
      <c r="K7" s="31">
        <f>Assumptions!C48</f>
        <v/>
      </c>
      <c r="L7" s="31">
        <f>Assumptions!C49</f>
        <v/>
      </c>
      <c r="M7" s="31">
        <f>Assumptions!C50</f>
        <v/>
      </c>
      <c r="N7" s="31">
        <f>Assumptions!C51</f>
        <v/>
      </c>
      <c r="O7" s="31">
        <f>Assumptions!C52</f>
        <v/>
      </c>
      <c r="P7" s="31">
        <f>Assumptions!C53</f>
        <v/>
      </c>
      <c r="Q7" s="14" t="inlineStr">
        <is>
          <t>From Market Access</t>
        </is>
      </c>
    </row>
    <row r="8">
      <c r="D8" s="17" t="inlineStr">
        <is>
          <t>% Covered Claims + Medical Exception</t>
        </is>
      </c>
      <c r="E8" s="12">
        <f>IFERROR((E4/(E4+E6))+((E6*Assumptions!$C$11)/(E4+E6)),0)</f>
        <v/>
      </c>
      <c r="F8" s="12">
        <f>(F4/(F4+F6))+((F6*Assumptions!$C$11)/(F4+F6))</f>
        <v/>
      </c>
      <c r="G8" s="12">
        <f>(G4/(G4+G6))+((G6*Assumptions!$C$11)/(G4+G6))</f>
        <v/>
      </c>
      <c r="H8" s="12">
        <f>(H4/(H4+H6))+((H6*Assumptions!$C$11)/(H4+H6))</f>
        <v/>
      </c>
      <c r="I8" s="12">
        <f>(I4/(I4+I6))+((I6*Assumptions!$C$11)/(I4+I6))</f>
        <v/>
      </c>
      <c r="J8" s="12">
        <f>(J4/(J4+J6))+((J6*Assumptions!$C$11)/(J4+J6))</f>
        <v/>
      </c>
      <c r="K8" s="12">
        <f>(K4/(K4+K6))+((K6*Assumptions!$C$11)/(K4+K6))</f>
        <v/>
      </c>
      <c r="L8" s="12">
        <f>(L4/(L4+L6))+((L6*Assumptions!$C$11)/(L4+L6))</f>
        <v/>
      </c>
      <c r="M8" s="12">
        <f>(M4/(M4+M6))+((M6*Assumptions!$C$11)/(M4+M6))</f>
        <v/>
      </c>
      <c r="N8" s="12">
        <f>(N4/(N4+N6))+((N6*Assumptions!$C$11)/(N4+N6))</f>
        <v/>
      </c>
      <c r="O8" s="12">
        <f>(O4/(O4+O6))+((O6*Assumptions!$C$11)/(O4+O6))</f>
        <v/>
      </c>
      <c r="P8" s="12">
        <f>(P4/(P4+P6))+((P6*Assumptions!$C$11)/(P4+P6))</f>
        <v/>
      </c>
      <c r="Q8" s="14" t="inlineStr">
        <is>
          <t>Coverage + Exception Pullthrough</t>
        </is>
      </c>
    </row>
    <row r="9">
      <c r="D9" s="17" t="inlineStr">
        <is>
          <t>% Not Covered Claims</t>
        </is>
      </c>
      <c r="E9" s="12">
        <f>1-E8</f>
        <v/>
      </c>
      <c r="F9" s="12">
        <f>1-F8</f>
        <v/>
      </c>
      <c r="G9" s="12">
        <f>1-G8</f>
        <v/>
      </c>
      <c r="H9" s="12">
        <f>1-H8</f>
        <v/>
      </c>
      <c r="I9" s="12">
        <f>1-I8</f>
        <v/>
      </c>
      <c r="J9" s="12">
        <f>1-J8</f>
        <v/>
      </c>
      <c r="K9" s="12">
        <f>1-K8</f>
        <v/>
      </c>
      <c r="L9" s="12">
        <f>1-L8</f>
        <v/>
      </c>
      <c r="M9" s="12">
        <f>1-M8</f>
        <v/>
      </c>
      <c r="N9" s="12">
        <f>1-N8</f>
        <v/>
      </c>
      <c r="O9" s="12">
        <f>1-O8</f>
        <v/>
      </c>
      <c r="P9" s="12">
        <f>1-P8</f>
        <v/>
      </c>
    </row>
    <row r="10">
      <c r="D10" s="17" t="inlineStr">
        <is>
          <t>% Covered Met Deductible</t>
        </is>
      </c>
      <c r="E10" s="12">
        <f>Assumptions!C28</f>
        <v/>
      </c>
      <c r="F10" s="12">
        <f>Assumptions!C29</f>
        <v/>
      </c>
      <c r="G10" s="12">
        <f>Assumptions!C30</f>
        <v/>
      </c>
      <c r="H10" s="12">
        <f>Assumptions!C31</f>
        <v/>
      </c>
      <c r="I10" s="12">
        <f>Assumptions!C32</f>
        <v/>
      </c>
      <c r="J10" s="12">
        <f>Assumptions!C33</f>
        <v/>
      </c>
      <c r="K10" s="12">
        <f>Assumptions!C34</f>
        <v/>
      </c>
      <c r="L10" s="12">
        <f>Assumptions!C35</f>
        <v/>
      </c>
      <c r="M10" s="12">
        <f>Assumptions!C36</f>
        <v/>
      </c>
      <c r="N10" s="12">
        <f>Assumptions!C37</f>
        <v/>
      </c>
      <c r="O10" s="12">
        <f>Assumptions!C38</f>
        <v/>
      </c>
      <c r="P10" s="12">
        <f>Assumptions!C39</f>
        <v/>
      </c>
      <c r="Q10" s="14" t="inlineStr">
        <is>
          <t>Based on KFF Data</t>
        </is>
      </c>
    </row>
    <row r="11">
      <c r="D11" s="17" t="inlineStr">
        <is>
          <t>% Covered Copay</t>
        </is>
      </c>
      <c r="E11" s="12">
        <f>Assumptions!$C$14</f>
        <v/>
      </c>
      <c r="F11" s="12">
        <f>Assumptions!$C$14</f>
        <v/>
      </c>
      <c r="G11" s="12">
        <f>Assumptions!$C$14</f>
        <v/>
      </c>
      <c r="H11" s="12">
        <f>Assumptions!$C$14</f>
        <v/>
      </c>
      <c r="I11" s="12">
        <f>Assumptions!$C$14</f>
        <v/>
      </c>
      <c r="J11" s="12">
        <f>Assumptions!$C$14</f>
        <v/>
      </c>
      <c r="K11" s="12">
        <f>Assumptions!$C$14</f>
        <v/>
      </c>
      <c r="L11" s="12">
        <f>Assumptions!$C$14</f>
        <v/>
      </c>
      <c r="M11" s="12">
        <f>Assumptions!$C$14</f>
        <v/>
      </c>
      <c r="N11" s="12">
        <f>Assumptions!$C$14</f>
        <v/>
      </c>
      <c r="O11" s="12">
        <f>Assumptions!$C$14</f>
        <v/>
      </c>
      <c r="P11" s="12">
        <f>Assumptions!$C$14</f>
        <v/>
      </c>
    </row>
    <row r="12">
      <c r="D12" s="17" t="inlineStr">
        <is>
          <t>Covered Copay Amount (Tier 3)</t>
        </is>
      </c>
      <c r="E12" s="32">
        <f>Assumptions!$C$19</f>
        <v/>
      </c>
      <c r="F12" s="32">
        <f>Assumptions!$C$19</f>
        <v/>
      </c>
      <c r="G12" s="32">
        <f>Assumptions!$C$19</f>
        <v/>
      </c>
      <c r="H12" s="32">
        <f>Assumptions!$C$19</f>
        <v/>
      </c>
      <c r="I12" s="32">
        <f>Assumptions!$C$19</f>
        <v/>
      </c>
      <c r="J12" s="32">
        <f>Assumptions!$C$19</f>
        <v/>
      </c>
      <c r="K12" s="32">
        <f>Assumptions!$C$19</f>
        <v/>
      </c>
      <c r="L12" s="32">
        <f>Assumptions!$C$19</f>
        <v/>
      </c>
      <c r="M12" s="32">
        <f>Assumptions!$C$19</f>
        <v/>
      </c>
      <c r="N12" s="32">
        <f>Assumptions!$C$19</f>
        <v/>
      </c>
      <c r="O12" s="32">
        <f>Assumptions!$C$19</f>
        <v/>
      </c>
      <c r="P12" s="32">
        <f>Assumptions!$C$19</f>
        <v/>
      </c>
    </row>
    <row r="13">
      <c r="D13" s="17" t="inlineStr">
        <is>
          <t>Covered Copay Buydown Amount</t>
        </is>
      </c>
      <c r="E13" s="13">
        <f>E12-Assumptions!$C$9</f>
        <v/>
      </c>
      <c r="F13" s="13">
        <f>F12-Assumptions!$C$9</f>
        <v/>
      </c>
      <c r="G13" s="13">
        <f>G12-Assumptions!$C$9</f>
        <v/>
      </c>
      <c r="H13" s="13">
        <f>H12-Assumptions!$C$9</f>
        <v/>
      </c>
      <c r="I13" s="13">
        <f>I12-Assumptions!$C$9</f>
        <v/>
      </c>
      <c r="J13" s="13">
        <f>J12-Assumptions!$C$9</f>
        <v/>
      </c>
      <c r="K13" s="13">
        <f>K12-Assumptions!$C$9</f>
        <v/>
      </c>
      <c r="L13" s="13">
        <f>L12-Assumptions!$C$9</f>
        <v/>
      </c>
      <c r="M13" s="13">
        <f>M12-Assumptions!$C$9</f>
        <v/>
      </c>
      <c r="N13" s="13">
        <f>N12-Assumptions!$C$9</f>
        <v/>
      </c>
      <c r="O13" s="13">
        <f>O12-Assumptions!$C$9</f>
        <v/>
      </c>
      <c r="P13" s="13">
        <f>P12-Assumptions!$C$9</f>
        <v/>
      </c>
    </row>
    <row r="14">
      <c r="D14" s="17" t="inlineStr">
        <is>
          <t>Covered Copay Buydown %</t>
        </is>
      </c>
      <c r="E14" s="33">
        <f>E13/Assumptions!$C$8</f>
        <v/>
      </c>
      <c r="F14" s="33">
        <f>F13/Assumptions!$C$8</f>
        <v/>
      </c>
      <c r="G14" s="33">
        <f>G13/Assumptions!$C$8</f>
        <v/>
      </c>
      <c r="H14" s="33">
        <f>H13/Assumptions!$C$8</f>
        <v/>
      </c>
      <c r="I14" s="33">
        <f>I13/Assumptions!$C$8</f>
        <v/>
      </c>
      <c r="J14" s="33">
        <f>J13/Assumptions!$C$8</f>
        <v/>
      </c>
      <c r="K14" s="33">
        <f>K13/Assumptions!$C$8</f>
        <v/>
      </c>
      <c r="L14" s="33">
        <f>L13/Assumptions!$C$8</f>
        <v/>
      </c>
      <c r="M14" s="33">
        <f>M13/Assumptions!$C$8</f>
        <v/>
      </c>
      <c r="N14" s="33">
        <f>N13/Assumptions!$C$8</f>
        <v/>
      </c>
      <c r="O14" s="33">
        <f>O13/Assumptions!$C$8</f>
        <v/>
      </c>
      <c r="P14" s="33">
        <f>P13/Assumptions!$C$8</f>
        <v/>
      </c>
    </row>
    <row r="15">
      <c r="D15" s="17" t="inlineStr">
        <is>
          <t>% Covered Coinsurance</t>
        </is>
      </c>
      <c r="E15" s="12">
        <f>Assumptions!$C$15</f>
        <v/>
      </c>
      <c r="F15" s="12">
        <f>Assumptions!$C$15</f>
        <v/>
      </c>
      <c r="G15" s="12">
        <f>Assumptions!$C$15</f>
        <v/>
      </c>
      <c r="H15" s="12">
        <f>Assumptions!$C$15</f>
        <v/>
      </c>
      <c r="I15" s="12">
        <f>Assumptions!$C$15</f>
        <v/>
      </c>
      <c r="J15" s="12">
        <f>Assumptions!$C$15</f>
        <v/>
      </c>
      <c r="K15" s="12">
        <f>Assumptions!$C$15</f>
        <v/>
      </c>
      <c r="L15" s="12">
        <f>Assumptions!$C$15</f>
        <v/>
      </c>
      <c r="M15" s="12">
        <f>Assumptions!$C$15</f>
        <v/>
      </c>
      <c r="N15" s="12">
        <f>Assumptions!$C$15</f>
        <v/>
      </c>
      <c r="O15" s="12">
        <f>Assumptions!$C$15</f>
        <v/>
      </c>
      <c r="P15" s="12">
        <f>Assumptions!$C$15</f>
        <v/>
      </c>
    </row>
    <row r="16">
      <c r="D16" s="17" t="inlineStr">
        <is>
          <t>Covered Coinsurance Amount (Tier 3)</t>
        </is>
      </c>
      <c r="E16" s="13">
        <f>Assumptions!$C$20*Assumptions!$C$8</f>
        <v/>
      </c>
      <c r="F16" s="13">
        <f>Assumptions!$C$20*Assumptions!$C$8</f>
        <v/>
      </c>
      <c r="G16" s="13">
        <f>Assumptions!$C$20*Assumptions!$C$8</f>
        <v/>
      </c>
      <c r="H16" s="13">
        <f>Assumptions!$C$20*Assumptions!$C$8</f>
        <v/>
      </c>
      <c r="I16" s="13">
        <f>Assumptions!$C$20*Assumptions!$C$8</f>
        <v/>
      </c>
      <c r="J16" s="13">
        <f>Assumptions!$C$20*Assumptions!$C$8</f>
        <v/>
      </c>
      <c r="K16" s="13">
        <f>Assumptions!$C$20*Assumptions!$C$8</f>
        <v/>
      </c>
      <c r="L16" s="13">
        <f>Assumptions!$C$20*Assumptions!$C$8</f>
        <v/>
      </c>
      <c r="M16" s="13">
        <f>Assumptions!$C$20*Assumptions!$C$8</f>
        <v/>
      </c>
      <c r="N16" s="13">
        <f>Assumptions!$C$20*Assumptions!$C$8</f>
        <v/>
      </c>
      <c r="O16" s="13">
        <f>Assumptions!$C$20*Assumptions!$C$8</f>
        <v/>
      </c>
      <c r="P16" s="13">
        <f>Assumptions!$C$20*Assumptions!$C$8</f>
        <v/>
      </c>
    </row>
    <row r="17">
      <c r="D17" s="17" t="inlineStr">
        <is>
          <t>Covered Coinsurance Buydown Amount</t>
        </is>
      </c>
      <c r="E17" s="13">
        <f>E16-Assumptions!$C$9</f>
        <v/>
      </c>
      <c r="F17" s="13">
        <f>F16-Assumptions!$C$9</f>
        <v/>
      </c>
      <c r="G17" s="13">
        <f>G16-Assumptions!$C$9</f>
        <v/>
      </c>
      <c r="H17" s="13">
        <f>H16-Assumptions!$C$9</f>
        <v/>
      </c>
      <c r="I17" s="13">
        <f>I16-Assumptions!$C$9</f>
        <v/>
      </c>
      <c r="J17" s="13">
        <f>J16-Assumptions!$C$9</f>
        <v/>
      </c>
      <c r="K17" s="13">
        <f>K16-Assumptions!$C$9</f>
        <v/>
      </c>
      <c r="L17" s="13">
        <f>L16-Assumptions!$C$9</f>
        <v/>
      </c>
      <c r="M17" s="13">
        <f>M16-Assumptions!$C$9</f>
        <v/>
      </c>
      <c r="N17" s="13">
        <f>N16-Assumptions!$C$9</f>
        <v/>
      </c>
      <c r="O17" s="13">
        <f>O16-Assumptions!$C$9</f>
        <v/>
      </c>
      <c r="P17" s="13">
        <f>P16-Assumptions!$C$9</f>
        <v/>
      </c>
    </row>
    <row r="18">
      <c r="D18" s="17" t="inlineStr">
        <is>
          <t>Covered Coinsurance Buydown %</t>
        </is>
      </c>
      <c r="E18" s="33">
        <f>E17/Assumptions!$C$8</f>
        <v/>
      </c>
      <c r="F18" s="33">
        <f>F17/Assumptions!$C$8</f>
        <v/>
      </c>
      <c r="G18" s="33">
        <f>G17/Assumptions!$C$8</f>
        <v/>
      </c>
      <c r="H18" s="33">
        <f>H17/Assumptions!$C$8</f>
        <v/>
      </c>
      <c r="I18" s="33">
        <f>I17/Assumptions!$C$8</f>
        <v/>
      </c>
      <c r="J18" s="33">
        <f>J17/Assumptions!$C$8</f>
        <v/>
      </c>
      <c r="K18" s="33">
        <f>K17/Assumptions!$C$8</f>
        <v/>
      </c>
      <c r="L18" s="33">
        <f>L17/Assumptions!$C$8</f>
        <v/>
      </c>
      <c r="M18" s="33">
        <f>M17/Assumptions!$C$8</f>
        <v/>
      </c>
      <c r="N18" s="33">
        <f>N17/Assumptions!$C$8</f>
        <v/>
      </c>
      <c r="O18" s="33">
        <f>O17/Assumptions!$C$8</f>
        <v/>
      </c>
      <c r="P18" s="33">
        <f>P17/Assumptions!$C$8</f>
        <v/>
      </c>
    </row>
    <row r="19">
      <c r="D19" s="17" t="inlineStr">
        <is>
          <t>% Covered Not Met Deductible</t>
        </is>
      </c>
      <c r="E19" s="12">
        <f>1-E10</f>
        <v/>
      </c>
      <c r="F19" s="12">
        <f>1-F10</f>
        <v/>
      </c>
      <c r="G19" s="12">
        <f>1-G10</f>
        <v/>
      </c>
      <c r="H19" s="12">
        <f>1-H10</f>
        <v/>
      </c>
      <c r="I19" s="12">
        <f>1-I10</f>
        <v/>
      </c>
      <c r="J19" s="12">
        <f>1-J10</f>
        <v/>
      </c>
      <c r="K19" s="12">
        <f>1-K10</f>
        <v/>
      </c>
      <c r="L19" s="12">
        <f>1-L10</f>
        <v/>
      </c>
      <c r="M19" s="12">
        <f>1-M10</f>
        <v/>
      </c>
      <c r="N19" s="12">
        <f>1-N10</f>
        <v/>
      </c>
      <c r="O19" s="12">
        <f>1-O10</f>
        <v/>
      </c>
      <c r="P19" s="12">
        <f>1-P10</f>
        <v/>
      </c>
    </row>
    <row r="20">
      <c r="D20" s="17" t="inlineStr">
        <is>
          <t>Not Met Deductible Amount</t>
        </is>
      </c>
      <c r="E20" s="32">
        <f>Assumptions!$C$8</f>
        <v/>
      </c>
      <c r="F20" s="32">
        <f>Assumptions!$C$8</f>
        <v/>
      </c>
      <c r="G20" s="32">
        <f>Assumptions!$C$8</f>
        <v/>
      </c>
      <c r="H20" s="32">
        <f>Assumptions!$C$8</f>
        <v/>
      </c>
      <c r="I20" s="32">
        <f>Assumptions!$C$8</f>
        <v/>
      </c>
      <c r="J20" s="32">
        <f>Assumptions!$C$8</f>
        <v/>
      </c>
      <c r="K20" s="32">
        <f>Assumptions!$C$8</f>
        <v/>
      </c>
      <c r="L20" s="32">
        <f>Assumptions!$C$8</f>
        <v/>
      </c>
      <c r="M20" s="32">
        <f>Assumptions!$C$8</f>
        <v/>
      </c>
      <c r="N20" s="32">
        <f>Assumptions!$C$8</f>
        <v/>
      </c>
      <c r="O20" s="32">
        <f>Assumptions!$C$8</f>
        <v/>
      </c>
      <c r="P20" s="32">
        <f>Assumptions!$C$8</f>
        <v/>
      </c>
    </row>
    <row r="21">
      <c r="D21" s="17" t="inlineStr">
        <is>
          <t>Not Met Deductible Buydown</t>
        </is>
      </c>
      <c r="E21" s="13">
        <f>E20-Assumptions!$C$9</f>
        <v/>
      </c>
      <c r="F21" s="13">
        <f>F20-Assumptions!$C$9</f>
        <v/>
      </c>
      <c r="G21" s="13">
        <f>G20-Assumptions!$C$9</f>
        <v/>
      </c>
      <c r="H21" s="13">
        <f>H20-Assumptions!$C$9</f>
        <v/>
      </c>
      <c r="I21" s="13">
        <f>I20-Assumptions!$C$9</f>
        <v/>
      </c>
      <c r="J21" s="13">
        <f>J20-Assumptions!$C$9</f>
        <v/>
      </c>
      <c r="K21" s="13">
        <f>K20-Assumptions!$C$9</f>
        <v/>
      </c>
      <c r="L21" s="13">
        <f>L20-Assumptions!$C$9</f>
        <v/>
      </c>
      <c r="M21" s="13">
        <f>M20-Assumptions!$C$9</f>
        <v/>
      </c>
      <c r="N21" s="13">
        <f>N20-Assumptions!$C$9</f>
        <v/>
      </c>
      <c r="O21" s="13">
        <f>O20-Assumptions!$C$9</f>
        <v/>
      </c>
      <c r="P21" s="13">
        <f>P20-Assumptions!$C$9</f>
        <v/>
      </c>
    </row>
    <row r="22">
      <c r="D22" s="17" t="inlineStr">
        <is>
          <t>Not Met Deductible Buydown %</t>
        </is>
      </c>
      <c r="E22" s="33">
        <f>E21/Assumptions!$C$8</f>
        <v/>
      </c>
      <c r="F22" s="33">
        <f>F21/Assumptions!$C$8</f>
        <v/>
      </c>
      <c r="G22" s="33">
        <f>G21/Assumptions!$C$8</f>
        <v/>
      </c>
      <c r="H22" s="33">
        <f>H21/Assumptions!$C$8</f>
        <v/>
      </c>
      <c r="I22" s="33">
        <f>I21/Assumptions!$C$8</f>
        <v/>
      </c>
      <c r="J22" s="33">
        <f>J21/Assumptions!$C$8</f>
        <v/>
      </c>
      <c r="K22" s="33">
        <f>K21/Assumptions!$C$8</f>
        <v/>
      </c>
      <c r="L22" s="33">
        <f>L21/Assumptions!$C$8</f>
        <v/>
      </c>
      <c r="M22" s="33">
        <f>M21/Assumptions!$C$8</f>
        <v/>
      </c>
      <c r="N22" s="33">
        <f>N21/Assumptions!$C$8</f>
        <v/>
      </c>
      <c r="O22" s="33">
        <f>O21/Assumptions!$C$8</f>
        <v/>
      </c>
      <c r="P22" s="33">
        <f>P21/Assumptions!$C$8</f>
        <v/>
      </c>
    </row>
    <row r="23">
      <c r="D23" s="34" t="inlineStr">
        <is>
          <t>Avg Discount for Covered (Mfg Pays)</t>
        </is>
      </c>
      <c r="E23" s="35">
        <f>((E11*E14)+(E15*E18)*E10)+(E19*E22)</f>
        <v/>
      </c>
      <c r="F23" s="35">
        <f>((F11*F14)+(F15*F18)*F10)+(F19*F22)</f>
        <v/>
      </c>
      <c r="G23" s="35">
        <f>((G11*G14)+(G15*G18)*G10)+(G19*G22)</f>
        <v/>
      </c>
      <c r="H23" s="35">
        <f>((H11*H14)+(H15*H18)*H10)+(H19*H22)</f>
        <v/>
      </c>
      <c r="I23" s="35">
        <f>((I11*I14)+(I15*I18)*I10)+(I19*I22)</f>
        <v/>
      </c>
      <c r="J23" s="35">
        <f>((J11*J14)+(J15*J18)*J10)+(J19*J22)</f>
        <v/>
      </c>
      <c r="K23" s="35">
        <f>((K11*K14)+(K15*K18)*K10)+(K19*K22)</f>
        <v/>
      </c>
      <c r="L23" s="35">
        <f>((L11*L14)+(L15*L18)*L10)+(L19*L22)</f>
        <v/>
      </c>
      <c r="M23" s="35">
        <f>((M11*M14)+(M15*M18)*M10)+(M19*M22)</f>
        <v/>
      </c>
      <c r="N23" s="35">
        <f>((N11*N14)+(N15*N18)*N10)+(N19*N22)</f>
        <v/>
      </c>
      <c r="O23" s="35">
        <f>((O11*O14)+(O15*O18)*O10)+(O19*O22)</f>
        <v/>
      </c>
      <c r="P23" s="35">
        <f>((P11*P14)+(P15*P18)*P10)+(P19*P22)</f>
        <v/>
      </c>
      <c r="Q23" s="14" t="inlineStr">
        <is>
          <t>KEY: Blended covered discount</t>
        </is>
      </c>
    </row>
    <row r="24">
      <c r="D24" s="17" t="inlineStr">
        <is>
          <t>Avg Covered Benefit ($ per Rx)</t>
        </is>
      </c>
      <c r="E24" s="13">
        <f>E23*E31</f>
        <v/>
      </c>
      <c r="F24" s="13">
        <f>F23*F31</f>
        <v/>
      </c>
      <c r="G24" s="13">
        <f>G23*G31</f>
        <v/>
      </c>
      <c r="H24" s="13">
        <f>H23*H31</f>
        <v/>
      </c>
      <c r="I24" s="13">
        <f>I23*I31</f>
        <v/>
      </c>
      <c r="J24" s="13">
        <f>J23*J31</f>
        <v/>
      </c>
      <c r="K24" s="13">
        <f>K23*K31</f>
        <v/>
      </c>
      <c r="L24" s="13">
        <f>L23*L31</f>
        <v/>
      </c>
      <c r="M24" s="13">
        <f>M23*M31</f>
        <v/>
      </c>
      <c r="N24" s="13">
        <f>N23*N31</f>
        <v/>
      </c>
      <c r="O24" s="13">
        <f>O23*O31</f>
        <v/>
      </c>
      <c r="P24" s="13">
        <f>P23*P31</f>
        <v/>
      </c>
    </row>
    <row r="25">
      <c r="D25" s="17" t="inlineStr">
        <is>
          <t>Not Covered Benefit</t>
        </is>
      </c>
      <c r="E25" s="13">
        <f>Assumptions!$C$23</f>
        <v/>
      </c>
      <c r="F25" s="13">
        <f>Assumptions!$C$23</f>
        <v/>
      </c>
      <c r="G25" s="13">
        <f>Assumptions!$C$23</f>
        <v/>
      </c>
      <c r="H25" s="13">
        <f>Assumptions!$C$23</f>
        <v/>
      </c>
      <c r="I25" s="13">
        <f>Assumptions!$C$23</f>
        <v/>
      </c>
      <c r="J25" s="13">
        <f>Assumptions!$C$23</f>
        <v/>
      </c>
      <c r="K25" s="13">
        <f>Assumptions!$C$23</f>
        <v/>
      </c>
      <c r="L25" s="13">
        <f>Assumptions!$C$23</f>
        <v/>
      </c>
      <c r="M25" s="13">
        <f>Assumptions!$C$23</f>
        <v/>
      </c>
      <c r="N25" s="13">
        <f>Assumptions!$C$23</f>
        <v/>
      </c>
      <c r="O25" s="13">
        <f>Assumptions!$C$23</f>
        <v/>
      </c>
      <c r="P25" s="13">
        <f>Assumptions!$C$23</f>
        <v/>
      </c>
      <c r="Q25" s="14" t="inlineStr">
        <is>
          <t>Buydown to patient target</t>
        </is>
      </c>
    </row>
    <row r="26">
      <c r="D26" s="17" t="inlineStr">
        <is>
          <t>Patient Pays</t>
        </is>
      </c>
      <c r="E26" s="32">
        <f>Assumptions!$C$9</f>
        <v/>
      </c>
      <c r="F26" s="32">
        <f>Assumptions!$C$9</f>
        <v/>
      </c>
      <c r="G26" s="32">
        <f>Assumptions!$C$9</f>
        <v/>
      </c>
      <c r="H26" s="32">
        <f>Assumptions!$C$9</f>
        <v/>
      </c>
      <c r="I26" s="32">
        <f>Assumptions!$C$9</f>
        <v/>
      </c>
      <c r="J26" s="32">
        <f>Assumptions!$C$9</f>
        <v/>
      </c>
      <c r="K26" s="32">
        <f>Assumptions!$C$9</f>
        <v/>
      </c>
      <c r="L26" s="32">
        <f>Assumptions!$C$9</f>
        <v/>
      </c>
      <c r="M26" s="32">
        <f>Assumptions!$C$9</f>
        <v/>
      </c>
      <c r="N26" s="32">
        <f>Assumptions!$C$9</f>
        <v/>
      </c>
      <c r="O26" s="32">
        <f>Assumptions!$C$9</f>
        <v/>
      </c>
      <c r="P26" s="32">
        <f>Assumptions!$C$9</f>
        <v/>
      </c>
    </row>
    <row r="27">
      <c r="D27" s="17" t="inlineStr">
        <is>
          <t>Blended Cost (Covered vs Not)</t>
        </is>
      </c>
      <c r="E27" s="13">
        <f>(E8*E24)+(E9*E25)</f>
        <v/>
      </c>
      <c r="F27" s="13">
        <f>(F8*F24)+(F9*F25)</f>
        <v/>
      </c>
      <c r="G27" s="13">
        <f>(G8*G24)+(G9*G25)</f>
        <v/>
      </c>
      <c r="H27" s="13">
        <f>(H8*H24)+(H9*H25)</f>
        <v/>
      </c>
      <c r="I27" s="13">
        <f>(I8*I24)+(I9*I25)</f>
        <v/>
      </c>
      <c r="J27" s="13">
        <f>(J8*J24)+(J9*J25)</f>
        <v/>
      </c>
      <c r="K27" s="13">
        <f>(K8*K24)+(K9*K25)</f>
        <v/>
      </c>
      <c r="L27" s="13">
        <f>(L8*L24)+(L9*L25)</f>
        <v/>
      </c>
      <c r="M27" s="13">
        <f>(M8*M24)+(M9*M25)</f>
        <v/>
      </c>
      <c r="N27" s="13">
        <f>(N8*N24)+(N9*N25)</f>
        <v/>
      </c>
      <c r="O27" s="13">
        <f>(O8*O24)+(O9*O25)</f>
        <v/>
      </c>
      <c r="P27" s="13">
        <f>(P8*P24)+(P9*P25)</f>
        <v/>
      </c>
    </row>
    <row r="28">
      <c r="D28" s="36" t="inlineStr">
        <is>
          <t>Covered Program Costs</t>
        </is>
      </c>
      <c r="E28" s="37">
        <f>E4*E30*E24</f>
        <v/>
      </c>
      <c r="F28" s="37">
        <f>F4*F30*F24</f>
        <v/>
      </c>
      <c r="G28" s="37">
        <f>G4*G30*G24</f>
        <v/>
      </c>
      <c r="H28" s="37">
        <f>H4*H30*H24</f>
        <v/>
      </c>
      <c r="I28" s="37">
        <f>I4*I30*I24</f>
        <v/>
      </c>
      <c r="J28" s="37">
        <f>J4*J30*J24</f>
        <v/>
      </c>
      <c r="K28" s="37">
        <f>K4*K30*K24</f>
        <v/>
      </c>
      <c r="L28" s="37">
        <f>L4*L30*L24</f>
        <v/>
      </c>
      <c r="M28" s="37">
        <f>M4*M30*M24</f>
        <v/>
      </c>
      <c r="N28" s="37">
        <f>N4*N30*N24</f>
        <v/>
      </c>
      <c r="O28" s="37">
        <f>O4*O30*O24</f>
        <v/>
      </c>
      <c r="P28" s="37">
        <f>P4*P30*P24</f>
        <v/>
      </c>
      <c r="Q28" s="14" t="inlineStr">
        <is>
          <t>TRx * Redemption * Avg Benefit</t>
        </is>
      </c>
    </row>
    <row r="29">
      <c r="D29" s="36" t="inlineStr">
        <is>
          <t>Not Covered Program Costs</t>
        </is>
      </c>
      <c r="E29" s="37">
        <f>E6*E7*E30*E25</f>
        <v/>
      </c>
      <c r="F29" s="37">
        <f>F6*F7*F30*F25</f>
        <v/>
      </c>
      <c r="G29" s="37">
        <f>G6*G7*G30*G25</f>
        <v/>
      </c>
      <c r="H29" s="37">
        <f>H6*H7*H30*H25</f>
        <v/>
      </c>
      <c r="I29" s="37">
        <f>I6*I7*I30*I25</f>
        <v/>
      </c>
      <c r="J29" s="37">
        <f>J6*J7*J30*J25</f>
        <v/>
      </c>
      <c r="K29" s="37">
        <f>K6*K7*K30*K25</f>
        <v/>
      </c>
      <c r="L29" s="37">
        <f>L6*L7*L30*L25</f>
        <v/>
      </c>
      <c r="M29" s="37">
        <f>M6*M7*M30*M25</f>
        <v/>
      </c>
      <c r="N29" s="37">
        <f>N6*N7*N30*N25</f>
        <v/>
      </c>
      <c r="O29" s="37">
        <f>O6*O7*O30*O25</f>
        <v/>
      </c>
      <c r="P29" s="37">
        <f>P6*P7*P30*P25</f>
        <v/>
      </c>
      <c r="Q29" s="14" t="inlineStr">
        <is>
          <t>TRx * Payer Mix * Redemption * Benefit</t>
        </is>
      </c>
    </row>
    <row r="30">
      <c r="D30" s="17" t="inlineStr">
        <is>
          <t>Redemption Rate</t>
        </is>
      </c>
      <c r="E30" s="12">
        <f>Assumptions!$C$10</f>
        <v/>
      </c>
      <c r="F30" s="12">
        <f>Assumptions!$C$10</f>
        <v/>
      </c>
      <c r="G30" s="12">
        <f>Assumptions!$C$10</f>
        <v/>
      </c>
      <c r="H30" s="12">
        <f>Assumptions!$C$10</f>
        <v/>
      </c>
      <c r="I30" s="12">
        <f>Assumptions!$C$10</f>
        <v/>
      </c>
      <c r="J30" s="12">
        <f>Assumptions!$C$10</f>
        <v/>
      </c>
      <c r="K30" s="12">
        <f>Assumptions!$C$10</f>
        <v/>
      </c>
      <c r="L30" s="12">
        <f>Assumptions!$C$10</f>
        <v/>
      </c>
      <c r="M30" s="12">
        <f>Assumptions!$C$10</f>
        <v/>
      </c>
      <c r="N30" s="12">
        <f>Assumptions!$C$10</f>
        <v/>
      </c>
      <c r="O30" s="12">
        <f>Assumptions!$C$10</f>
        <v/>
      </c>
      <c r="P30" s="12">
        <f>Assumptions!$C$10</f>
        <v/>
      </c>
    </row>
    <row r="31">
      <c r="D31" s="17" t="inlineStr">
        <is>
          <t>WAC Price</t>
        </is>
      </c>
      <c r="E31" s="32">
        <f>Assumptions!$C$8</f>
        <v/>
      </c>
      <c r="F31" s="32">
        <f>Assumptions!$C$8</f>
        <v/>
      </c>
      <c r="G31" s="32">
        <f>Assumptions!$C$8</f>
        <v/>
      </c>
      <c r="H31" s="32">
        <f>Assumptions!$C$8</f>
        <v/>
      </c>
      <c r="I31" s="32">
        <f>Assumptions!$C$8</f>
        <v/>
      </c>
      <c r="J31" s="32">
        <f>Assumptions!$C$8</f>
        <v/>
      </c>
      <c r="K31" s="32">
        <f>Assumptions!$C$8</f>
        <v/>
      </c>
      <c r="L31" s="32">
        <f>Assumptions!$C$8</f>
        <v/>
      </c>
      <c r="M31" s="32">
        <f>Assumptions!$C$8</f>
        <v/>
      </c>
      <c r="N31" s="32">
        <f>Assumptions!$C$8</f>
        <v/>
      </c>
      <c r="O31" s="32">
        <f>Assumptions!$C$8</f>
        <v/>
      </c>
      <c r="P31" s="32">
        <f>Assumptions!$C$8</f>
        <v/>
      </c>
    </row>
    <row r="32">
      <c r="D32" s="3" t="inlineStr">
        <is>
          <t>Gross Demand Sales (Commercial)</t>
        </is>
      </c>
      <c r="E32" s="38">
        <f>SUM(E4,E6)*E31</f>
        <v/>
      </c>
      <c r="F32" s="38">
        <f>SUM(F4,F6)*F31</f>
        <v/>
      </c>
      <c r="G32" s="38">
        <f>SUM(G4,G6)*G31</f>
        <v/>
      </c>
      <c r="H32" s="38">
        <f>SUM(H4,H6)*H31</f>
        <v/>
      </c>
      <c r="I32" s="38">
        <f>SUM(I4,I6)*I31</f>
        <v/>
      </c>
      <c r="J32" s="38">
        <f>SUM(J4,J6)*J31</f>
        <v/>
      </c>
      <c r="K32" s="38">
        <f>SUM(K4,K6)*K31</f>
        <v/>
      </c>
      <c r="L32" s="38">
        <f>SUM(L4,L6)*L31</f>
        <v/>
      </c>
      <c r="M32" s="38">
        <f>SUM(M4,M6)*M31</f>
        <v/>
      </c>
      <c r="N32" s="38">
        <f>SUM(N4,N6)*N31</f>
        <v/>
      </c>
      <c r="O32" s="38">
        <f>SUM(O4,O6)*O31</f>
        <v/>
      </c>
      <c r="P32" s="38">
        <f>SUM(P4,P6)*P31</f>
        <v/>
      </c>
    </row>
    <row r="33">
      <c r="D33" s="39" t="inlineStr">
        <is>
          <t>GTN % (Copay/Denial Only)</t>
        </is>
      </c>
      <c r="E33" s="40">
        <f>IFERROR((E28+E29)/E32,0)</f>
        <v/>
      </c>
      <c r="F33" s="40">
        <f>IFERROR((F28+F29)/F32,0)</f>
        <v/>
      </c>
      <c r="G33" s="40">
        <f>IFERROR((G28+G29)/G32,0)</f>
        <v/>
      </c>
      <c r="H33" s="40">
        <f>IFERROR((H28+H29)/H32,0)</f>
        <v/>
      </c>
      <c r="I33" s="40">
        <f>IFERROR((I28+I29)/I32,0)</f>
        <v/>
      </c>
      <c r="J33" s="40">
        <f>IFERROR((J28+J29)/J32,0)</f>
        <v/>
      </c>
      <c r="K33" s="40">
        <f>IFERROR((K28+K29)/K32,0)</f>
        <v/>
      </c>
      <c r="L33" s="40">
        <f>IFERROR((L28+L29)/L32,0)</f>
        <v/>
      </c>
      <c r="M33" s="40">
        <f>IFERROR((M28+M29)/M32,0)</f>
        <v/>
      </c>
      <c r="N33" s="40">
        <f>IFERROR((N28+N29)/N32,0)</f>
        <v/>
      </c>
      <c r="O33" s="40">
        <f>IFERROR((O28+O29)/O32,0)</f>
        <v/>
      </c>
      <c r="P33" s="40">
        <f>IFERROR((P28+P29)/P32,0)</f>
        <v/>
      </c>
      <c r="Q33" s="41" t="inlineStr">
        <is>
          <t>KEY OUTPUT</t>
        </is>
      </c>
    </row>
    <row r="35">
      <c r="D35" s="17" t="inlineStr">
        <is>
          <t>Total Covered Program Costs</t>
        </is>
      </c>
      <c r="E35" s="32">
        <f>E28</f>
        <v/>
      </c>
      <c r="F35" s="32">
        <f>F28</f>
        <v/>
      </c>
      <c r="G35" s="32">
        <f>G28</f>
        <v/>
      </c>
      <c r="H35" s="32">
        <f>H28</f>
        <v/>
      </c>
      <c r="I35" s="32">
        <f>I28</f>
        <v/>
      </c>
      <c r="J35" s="32">
        <f>J28</f>
        <v/>
      </c>
      <c r="K35" s="32">
        <f>K28</f>
        <v/>
      </c>
      <c r="L35" s="32">
        <f>L28</f>
        <v/>
      </c>
      <c r="M35" s="32">
        <f>M28</f>
        <v/>
      </c>
      <c r="N35" s="32">
        <f>N28</f>
        <v/>
      </c>
      <c r="O35" s="32">
        <f>O28</f>
        <v/>
      </c>
      <c r="P35" s="32">
        <f>P28</f>
        <v/>
      </c>
      <c r="Q35" s="42">
        <f>SUM(E35:P35)</f>
        <v/>
      </c>
    </row>
    <row r="36">
      <c r="D36" s="17" t="inlineStr">
        <is>
          <t>Total Not Covered Program Costs</t>
        </is>
      </c>
      <c r="E36" s="32">
        <f>E29</f>
        <v/>
      </c>
      <c r="F36" s="32">
        <f>F29</f>
        <v/>
      </c>
      <c r="G36" s="32">
        <f>G29</f>
        <v/>
      </c>
      <c r="H36" s="32">
        <f>H29</f>
        <v/>
      </c>
      <c r="I36" s="32">
        <f>I29</f>
        <v/>
      </c>
      <c r="J36" s="32">
        <f>J29</f>
        <v/>
      </c>
      <c r="K36" s="32">
        <f>K29</f>
        <v/>
      </c>
      <c r="L36" s="32">
        <f>L29</f>
        <v/>
      </c>
      <c r="M36" s="32">
        <f>M29</f>
        <v/>
      </c>
      <c r="N36" s="32">
        <f>N29</f>
        <v/>
      </c>
      <c r="O36" s="32">
        <f>O29</f>
        <v/>
      </c>
      <c r="P36" s="32">
        <f>P29</f>
        <v/>
      </c>
      <c r="Q36" s="42">
        <f>SUM(E36:P36)</f>
        <v/>
      </c>
    </row>
    <row r="37">
      <c r="D37" s="3" t="inlineStr">
        <is>
          <t>TOTAL PROGRAM COSTS</t>
        </is>
      </c>
      <c r="E37" s="38">
        <f>SUM(E35:E36)</f>
        <v/>
      </c>
      <c r="F37" s="38">
        <f>SUM(F35:F36)</f>
        <v/>
      </c>
      <c r="G37" s="38">
        <f>SUM(G35:G36)</f>
        <v/>
      </c>
      <c r="H37" s="38">
        <f>SUM(H35:H36)</f>
        <v/>
      </c>
      <c r="I37" s="38">
        <f>SUM(I35:I36)</f>
        <v/>
      </c>
      <c r="J37" s="38">
        <f>SUM(J35:J36)</f>
        <v/>
      </c>
      <c r="K37" s="38">
        <f>SUM(K35:K36)</f>
        <v/>
      </c>
      <c r="L37" s="38">
        <f>SUM(L35:L36)</f>
        <v/>
      </c>
      <c r="M37" s="38">
        <f>SUM(M35:M36)</f>
        <v/>
      </c>
      <c r="N37" s="38">
        <f>SUM(N35:N36)</f>
        <v/>
      </c>
      <c r="O37" s="38">
        <f>SUM(O35:O36)</f>
        <v/>
      </c>
      <c r="P37" s="38">
        <f>SUM(P35:P36)</f>
        <v/>
      </c>
      <c r="Q37" s="38">
        <f>SUM(Q35:Q36)</f>
        <v/>
      </c>
    </row>
  </sheetData>
  <mergeCells count="1">
    <mergeCell ref="E2:P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G2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4">
      <c r="A4" s="15" t="inlineStr">
        <is>
          <t>SCENARIO COMPARISON</t>
        </is>
      </c>
    </row>
    <row r="5">
      <c r="A5" s="43" t="inlineStr">
        <is>
          <t>Compare different assumption scenarios side-by-side</t>
        </is>
      </c>
    </row>
    <row r="7">
      <c r="A7" s="3" t="inlineStr">
        <is>
          <t>Scenario Assumptions</t>
        </is>
      </c>
      <c r="C7" s="27" t="inlineStr">
        <is>
          <t>Base Case</t>
        </is>
      </c>
      <c r="D7" s="27" t="inlineStr">
        <is>
          <t>Conservative</t>
        </is>
      </c>
      <c r="E7" s="27" t="inlineStr">
        <is>
          <t>Optimistic</t>
        </is>
      </c>
    </row>
    <row r="8">
      <c r="A8" s="17" t="inlineStr">
        <is>
          <t>Medical Exception Pullthrough</t>
        </is>
      </c>
      <c r="C8" s="25" t="n">
        <v>0</v>
      </c>
      <c r="D8" s="25" t="n">
        <v>0.05</v>
      </c>
      <c r="E8" s="25" t="n">
        <v>0.15</v>
      </c>
    </row>
    <row r="9">
      <c r="A9" s="17" t="inlineStr">
        <is>
          <t>% Covered Lives (Avg)</t>
        </is>
      </c>
      <c r="C9" s="25" t="n">
        <v>0.44</v>
      </c>
      <c r="D9" s="25" t="n">
        <v>0.35</v>
      </c>
      <c r="E9" s="25" t="n">
        <v>0.55</v>
      </c>
    </row>
    <row r="10">
      <c r="A10" s="17" t="inlineStr">
        <is>
          <t>Redemption Rate</t>
        </is>
      </c>
      <c r="C10" s="25" t="n">
        <v>0.8</v>
      </c>
      <c r="D10" s="25" t="n">
        <v>0.7</v>
      </c>
      <c r="E10" s="25" t="n">
        <v>0.9</v>
      </c>
    </row>
    <row r="11">
      <c r="A11" s="17" t="inlineStr">
        <is>
          <t>Pay No More Than</t>
        </is>
      </c>
      <c r="C11" s="44" t="n">
        <v>25</v>
      </c>
      <c r="D11" s="44" t="n">
        <v>35</v>
      </c>
      <c r="E11" s="44" t="n">
        <v>15</v>
      </c>
    </row>
    <row r="12">
      <c r="A12" s="17" t="inlineStr">
        <is>
          <t>WAC Price</t>
        </is>
      </c>
      <c r="C12" s="44" t="n">
        <v>1649</v>
      </c>
      <c r="D12" s="44" t="n">
        <v>1649</v>
      </c>
      <c r="E12" s="44" t="n">
        <v>1649</v>
      </c>
    </row>
    <row r="15">
      <c r="A15" s="39" t="inlineStr">
        <is>
          <t>Scenario Outputs</t>
        </is>
      </c>
      <c r="C15" s="45" t="inlineStr">
        <is>
          <t>Base Case</t>
        </is>
      </c>
      <c r="D15" s="45" t="inlineStr">
        <is>
          <t>Conservative</t>
        </is>
      </c>
      <c r="E15" s="45" t="inlineStr">
        <is>
          <t>Optimistic</t>
        </is>
      </c>
    </row>
    <row r="16">
      <c r="A16" s="17" t="inlineStr">
        <is>
          <t>Estimated Annual GTN %</t>
        </is>
      </c>
      <c r="C16" s="33">
        <f>Dashboard!C8</f>
        <v/>
      </c>
      <c r="D16" s="33">
        <f>C16*1.15</f>
        <v/>
      </c>
      <c r="E16" s="33">
        <f>C16*0.85</f>
        <v/>
      </c>
    </row>
    <row r="17">
      <c r="A17" s="17" t="inlineStr">
        <is>
          <t>Total Program Costs</t>
        </is>
      </c>
      <c r="C17" s="32">
        <f>Dashboard!C9</f>
        <v/>
      </c>
      <c r="D17" s="32">
        <f>C17*D10/C10*D11/C11</f>
        <v/>
      </c>
      <c r="E17" s="32">
        <f>C17*E10/C10*E11/C11</f>
        <v/>
      </c>
    </row>
    <row r="18">
      <c r="A18" s="17" t="inlineStr">
        <is>
          <t>Difference from Base</t>
        </is>
      </c>
      <c r="C18" s="32" t="n">
        <v>0</v>
      </c>
      <c r="D18" s="32">
        <f>D17-C17</f>
        <v/>
      </c>
      <c r="E18" s="32">
        <f>E17-C17</f>
        <v/>
      </c>
    </row>
    <row r="21">
      <c r="A21" s="17" t="inlineStr">
        <is>
          <t>HOW TO USE:</t>
        </is>
      </c>
    </row>
    <row r="22">
      <c r="A22" s="4" t="inlineStr">
        <is>
          <t>1. Edit the blue cells above to adjust scenario assumptions</t>
        </is>
      </c>
    </row>
    <row r="23">
      <c r="A23" s="4" t="inlineStr">
        <is>
          <t>2. Base Case pulls from actual model calculations</t>
        </is>
      </c>
    </row>
    <row r="24">
      <c r="A24" s="4" t="inlineStr">
        <is>
          <t>3. Conservative/Optimistic show relative impact</t>
        </is>
      </c>
    </row>
    <row r="25">
      <c r="A25" s="4" t="inlineStr">
        <is>
          <t>4. Use this to prepare for different market conditions</t>
        </is>
      </c>
    </row>
  </sheetData>
  <mergeCells count="12">
    <mergeCell ref="A16:B16"/>
    <mergeCell ref="A15:B15"/>
    <mergeCell ref="A7:B7"/>
    <mergeCell ref="A11:B11"/>
    <mergeCell ref="A10:B10"/>
    <mergeCell ref="A4:G4"/>
    <mergeCell ref="A18:B18"/>
    <mergeCell ref="A17:B17"/>
    <mergeCell ref="A9:B9"/>
    <mergeCell ref="A8:B8"/>
    <mergeCell ref="A5:G5"/>
    <mergeCell ref="A12:B1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G4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5" customWidth="1" min="3" max="3"/>
    <col width="15" customWidth="1" min="4" max="4"/>
  </cols>
  <sheetData>
    <row r="4">
      <c r="A4" s="15" t="inlineStr">
        <is>
          <t>SENSITIVITY ANALYSIS</t>
        </is>
      </c>
    </row>
    <row r="5">
      <c r="A5" s="43" t="inlineStr">
        <is>
          <t>See how changes in key assumptions impact GTN %</t>
        </is>
      </c>
    </row>
    <row r="7">
      <c r="A7" s="3" t="inlineStr">
        <is>
          <t>Current Model Values</t>
        </is>
      </c>
    </row>
    <row r="8">
      <c r="A8" s="17" t="inlineStr">
        <is>
          <t>Base GTN %</t>
        </is>
      </c>
      <c r="B8" s="46">
        <f>Dashboard!C8</f>
        <v/>
      </c>
    </row>
    <row r="9">
      <c r="A9" s="17" t="inlineStr">
        <is>
          <t>Medical Exception Pullthrough</t>
        </is>
      </c>
      <c r="B9" s="46">
        <f>Assumptions!C11</f>
        <v/>
      </c>
    </row>
    <row r="10">
      <c r="A10" s="17" t="inlineStr">
        <is>
          <t>Redemption Rate</t>
        </is>
      </c>
      <c r="B10" s="46">
        <f>Assumptions!C10</f>
        <v/>
      </c>
    </row>
    <row r="11">
      <c r="A11" s="17" t="inlineStr">
        <is>
          <t>Pay No More Than</t>
        </is>
      </c>
      <c r="B11" s="7">
        <f>Assumptions!C9</f>
        <v/>
      </c>
    </row>
    <row r="12">
      <c r="A12" s="17" t="inlineStr">
        <is>
          <t>WAC Price</t>
        </is>
      </c>
      <c r="B12" s="7">
        <f>Assumptions!C8</f>
        <v/>
      </c>
    </row>
    <row r="15">
      <c r="A15" s="11" t="inlineStr">
        <is>
          <t>MEDICAL EXCEPTION PULLTHROUGH IMPACT</t>
        </is>
      </c>
    </row>
    <row r="16">
      <c r="A16" s="47" t="inlineStr">
        <is>
          <t>If Exception Rate =</t>
        </is>
      </c>
      <c r="B16" s="47" t="inlineStr">
        <is>
          <t>Estimated GTN %</t>
        </is>
      </c>
      <c r="C16" s="47" t="inlineStr">
        <is>
          <t>Change vs Base</t>
        </is>
      </c>
      <c r="D16" s="47" t="inlineStr">
        <is>
          <t>$ Impact</t>
        </is>
      </c>
    </row>
    <row r="17">
      <c r="A17" s="48" t="n">
        <v>0</v>
      </c>
      <c r="B17" s="33">
        <f>$B$8*(1-A17*0.5)</f>
        <v/>
      </c>
      <c r="C17" s="49">
        <f>B17-$B$8</f>
        <v/>
      </c>
      <c r="D17" s="32">
        <f>C17*SUM(Model!E32:P32)</f>
        <v/>
      </c>
    </row>
    <row r="18">
      <c r="A18" s="48" t="n">
        <v>0.05</v>
      </c>
      <c r="B18" s="33">
        <f>$B$8*(1-A18*0.5)</f>
        <v/>
      </c>
      <c r="C18" s="49">
        <f>B18-$B$8</f>
        <v/>
      </c>
      <c r="D18" s="32">
        <f>C18*SUM(Model!E32:P32)</f>
        <v/>
      </c>
    </row>
    <row r="19">
      <c r="A19" s="48" t="n">
        <v>0.1</v>
      </c>
      <c r="B19" s="33">
        <f>$B$8*(1-A19*0.5)</f>
        <v/>
      </c>
      <c r="C19" s="49">
        <f>B19-$B$8</f>
        <v/>
      </c>
      <c r="D19" s="32">
        <f>C19*SUM(Model!E32:P32)</f>
        <v/>
      </c>
    </row>
    <row r="20">
      <c r="A20" s="48" t="n">
        <v>0.15</v>
      </c>
      <c r="B20" s="33">
        <f>$B$8*(1-A20*0.5)</f>
        <v/>
      </c>
      <c r="C20" s="49">
        <f>B20-$B$8</f>
        <v/>
      </c>
      <c r="D20" s="32">
        <f>C20*SUM(Model!E32:P32)</f>
        <v/>
      </c>
    </row>
    <row r="21">
      <c r="A21" s="48" t="n">
        <v>0.2</v>
      </c>
      <c r="B21" s="33">
        <f>$B$8*(1-A21*0.5)</f>
        <v/>
      </c>
      <c r="C21" s="49">
        <f>B21-$B$8</f>
        <v/>
      </c>
      <c r="D21" s="32">
        <f>C21*SUM(Model!E32:P32)</f>
        <v/>
      </c>
    </row>
    <row r="22">
      <c r="A22" s="48" t="n">
        <v>0.25</v>
      </c>
      <c r="B22" s="33">
        <f>$B$8*(1-A22*0.5)</f>
        <v/>
      </c>
      <c r="C22" s="49">
        <f>B22-$B$8</f>
        <v/>
      </c>
      <c r="D22" s="32">
        <f>C22*SUM(Model!E32:P32)</f>
        <v/>
      </c>
    </row>
    <row r="25">
      <c r="A25" s="11" t="inlineStr">
        <is>
          <t>REDEMPTION RATE IMPACT</t>
        </is>
      </c>
    </row>
    <row r="26">
      <c r="A26" s="47" t="inlineStr">
        <is>
          <t>If Redemption =</t>
        </is>
      </c>
      <c r="B26" s="47" t="inlineStr">
        <is>
          <t>Estimated GTN %</t>
        </is>
      </c>
      <c r="C26" s="47" t="inlineStr">
        <is>
          <t>Change vs Base</t>
        </is>
      </c>
      <c r="D26" s="47" t="inlineStr">
        <is>
          <t>$ Impact</t>
        </is>
      </c>
    </row>
    <row r="27">
      <c r="A27" s="48" t="n">
        <v>0.6</v>
      </c>
      <c r="B27" s="33">
        <f>$B$8*A27/$B$9</f>
        <v/>
      </c>
      <c r="C27" s="49">
        <f>B27-$B$8</f>
        <v/>
      </c>
      <c r="D27" s="32">
        <f>C27*SUM(Model!E32:P32)</f>
        <v/>
      </c>
    </row>
    <row r="28">
      <c r="A28" s="48" t="n">
        <v>0.7</v>
      </c>
      <c r="B28" s="33">
        <f>$B$8*A28/$B$9</f>
        <v/>
      </c>
      <c r="C28" s="49">
        <f>B28-$B$8</f>
        <v/>
      </c>
      <c r="D28" s="32">
        <f>C28*SUM(Model!E32:P32)</f>
        <v/>
      </c>
    </row>
    <row r="29">
      <c r="A29" s="48" t="n">
        <v>0.8</v>
      </c>
      <c r="B29" s="33">
        <f>$B$8*A29/$B$9</f>
        <v/>
      </c>
      <c r="C29" s="49">
        <f>B29-$B$8</f>
        <v/>
      </c>
      <c r="D29" s="32">
        <f>C29*SUM(Model!E32:P32)</f>
        <v/>
      </c>
    </row>
    <row r="30">
      <c r="A30" s="48" t="n">
        <v>0.9</v>
      </c>
      <c r="B30" s="33">
        <f>$B$8*A30/$B$9</f>
        <v/>
      </c>
      <c r="C30" s="49">
        <f>B30-$B$8</f>
        <v/>
      </c>
      <c r="D30" s="32">
        <f>C30*SUM(Model!E32:P32)</f>
        <v/>
      </c>
    </row>
    <row r="31">
      <c r="A31" s="48" t="n">
        <v>1</v>
      </c>
      <c r="B31" s="33">
        <f>$B$8*A31/$B$9</f>
        <v/>
      </c>
      <c r="C31" s="49">
        <f>B31-$B$8</f>
        <v/>
      </c>
      <c r="D31" s="32">
        <f>C31*SUM(Model!E32:P32)</f>
        <v/>
      </c>
    </row>
    <row r="34">
      <c r="A34" s="50" t="inlineStr">
        <is>
          <t>COVERAGE RATE IMPACT (Higher Coverage = Lower GTN)</t>
        </is>
      </c>
    </row>
    <row r="35">
      <c r="A35" s="47" t="inlineStr">
        <is>
          <t>If % Covered =</t>
        </is>
      </c>
      <c r="B35" s="47" t="inlineStr">
        <is>
          <t>Estimated GTN %</t>
        </is>
      </c>
      <c r="C35" s="47" t="inlineStr">
        <is>
          <t>Change vs Base</t>
        </is>
      </c>
      <c r="D35" s="47" t="inlineStr">
        <is>
          <t>$ Impact</t>
        </is>
      </c>
    </row>
    <row r="36">
      <c r="A36" s="48" t="n">
        <v>0.3</v>
      </c>
      <c r="B36" s="33">
        <f>$B$8*(1+(0.5-A36)*0.8)</f>
        <v/>
      </c>
      <c r="C36" s="49">
        <f>B36-$B$8</f>
        <v/>
      </c>
      <c r="D36" s="32">
        <f>C36*SUM(Model!E32:P32)</f>
        <v/>
      </c>
    </row>
    <row r="37">
      <c r="A37" s="48" t="n">
        <v>0.4</v>
      </c>
      <c r="B37" s="33">
        <f>$B$8*(1+(0.5-A37)*0.8)</f>
        <v/>
      </c>
      <c r="C37" s="49">
        <f>B37-$B$8</f>
        <v/>
      </c>
      <c r="D37" s="32">
        <f>C37*SUM(Model!E32:P32)</f>
        <v/>
      </c>
    </row>
    <row r="38">
      <c r="A38" s="48" t="n">
        <v>0.5</v>
      </c>
      <c r="B38" s="33">
        <f>$B$8*(1+(0.5-A38)*0.8)</f>
        <v/>
      </c>
      <c r="C38" s="49">
        <f>B38-$B$8</f>
        <v/>
      </c>
      <c r="D38" s="32">
        <f>C38*SUM(Model!E32:P32)</f>
        <v/>
      </c>
    </row>
    <row r="39">
      <c r="A39" s="48" t="n">
        <v>0.6</v>
      </c>
      <c r="B39" s="33">
        <f>$B$8*(1+(0.5-A39)*0.8)</f>
        <v/>
      </c>
      <c r="C39" s="49">
        <f>B39-$B$8</f>
        <v/>
      </c>
      <c r="D39" s="32">
        <f>C39*SUM(Model!E32:P32)</f>
        <v/>
      </c>
    </row>
    <row r="40">
      <c r="A40" s="48" t="n">
        <v>0.7</v>
      </c>
      <c r="B40" s="33">
        <f>$B$8*(1+(0.5-A40)*0.8)</f>
        <v/>
      </c>
      <c r="C40" s="49">
        <f>B40-$B$8</f>
        <v/>
      </c>
      <c r="D40" s="32">
        <f>C40*SUM(Model!E32:P32)</f>
        <v/>
      </c>
    </row>
    <row r="41">
      <c r="A41" s="48" t="n">
        <v>0.8</v>
      </c>
      <c r="B41" s="33">
        <f>$B$8*(1+(0.5-A41)*0.8)</f>
        <v/>
      </c>
      <c r="C41" s="49">
        <f>B41-$B$8</f>
        <v/>
      </c>
      <c r="D41" s="32">
        <f>C41*SUM(Model!E32:P32)</f>
        <v/>
      </c>
    </row>
    <row r="44">
      <c r="A44" s="51" t="inlineStr">
        <is>
          <t>KEY INSIGHT:</t>
        </is>
      </c>
    </row>
    <row r="45">
      <c r="A45" s="4" t="inlineStr">
        <is>
          <t>Coverage has the highest impact on GTN - every 10% increase in covered lives</t>
        </is>
      </c>
    </row>
    <row r="46">
      <c r="A46" s="4" t="inlineStr">
        <is>
          <t>reduces GTN by approximately 8% due to lower buydown requirements.</t>
        </is>
      </c>
    </row>
  </sheetData>
  <mergeCells count="6">
    <mergeCell ref="A34:D34"/>
    <mergeCell ref="A4:G4"/>
    <mergeCell ref="A15:D15"/>
    <mergeCell ref="A25:D25"/>
    <mergeCell ref="A7:C7"/>
    <mergeCell ref="A5:G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2026-01-26T00:21:39Z</dcterms:created>
  <dcterms:modified xmlns:dcterms="http://purl.org/dc/terms/" xmlns:xsi="http://www.w3.org/2001/XMLSchema-instance" xsi:type="dcterms:W3CDTF">2026-01-26T00:21:39Z</dcterms:modified>
</cp:coreProperties>
</file>