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.0%"/>
    <numFmt numFmtId="166" formatCode="&quot;$&quot;#,##0.00"/>
    <numFmt numFmtId="167" formatCode="#,##0.0"/>
    <numFmt numFmtId="168" formatCode="+0.00%;-0.00%"/>
    <numFmt numFmtId="169" formatCode="&quot;$&quot;+#,##0;[Red]&quot;$&quot;-#,##0"/>
  </numFmts>
  <fonts count="22">
    <font>
      <name val="Calibri"/>
      <family val="2"/>
      <color theme="1"/>
      <sz val="11"/>
      <scheme val="minor"/>
    </font>
    <font>
      <name val="Calibri"/>
      <b val="1"/>
      <color rgb="00172852"/>
      <sz val="18"/>
    </font>
    <font>
      <name val="Calibri"/>
      <i val="1"/>
      <color rgb="00E31D93"/>
      <sz val="11"/>
    </font>
    <font>
      <name val="Calibri"/>
      <b val="1"/>
      <color rgb="00FFFFFF"/>
      <sz val="12"/>
    </font>
    <font>
      <name val="Calibri"/>
      <b val="1"/>
      <color rgb="00172852"/>
      <sz val="11"/>
    </font>
    <font>
      <name val="Calibri"/>
      <b val="1"/>
      <color rgb="000D7AB5"/>
      <sz val="11"/>
    </font>
    <font>
      <name val="Calibri"/>
      <i val="1"/>
      <color rgb="0054575E"/>
      <sz val="9"/>
    </font>
    <font>
      <name val="Calibri"/>
      <i val="1"/>
      <color rgb="0054575E"/>
      <sz val="10"/>
    </font>
    <font>
      <name val="Calibri"/>
      <sz val="10"/>
    </font>
    <font>
      <name val="Calibri"/>
      <color rgb="0071B4BE"/>
      <sz val="9"/>
    </font>
    <font>
      <name val="Calibri"/>
      <b val="1"/>
      <color rgb="00FFFFFF"/>
      <sz val="11"/>
    </font>
    <font>
      <name val="Calibri"/>
      <b val="1"/>
      <color rgb="00172852"/>
      <sz val="14"/>
    </font>
    <font>
      <name val="Calibri"/>
      <b val="1"/>
      <color rgb="00E31D93"/>
      <sz val="9"/>
    </font>
    <font>
      <name val="Calibri"/>
      <b val="1"/>
      <color rgb="00E31D93"/>
      <sz val="10"/>
    </font>
    <font>
      <name val="Calibri"/>
      <b val="1"/>
      <sz val="10"/>
    </font>
    <font>
      <name val="Calibri"/>
      <i val="1"/>
      <color rgb="0054575E"/>
      <sz val="11"/>
    </font>
    <font>
      <name val="Calibri"/>
      <b val="1"/>
      <color rgb="00E31D93"/>
      <sz val="14"/>
    </font>
    <font>
      <name val="Calibri"/>
      <b val="1"/>
      <color rgb="00E31D93"/>
      <sz val="12"/>
    </font>
    <font>
      <name val="Calibri"/>
      <color rgb="0071B4BE"/>
      <sz val="10"/>
    </font>
    <font>
      <name val="Calibri"/>
      <b val="1"/>
      <color rgb="00E31D93"/>
      <sz val="28"/>
    </font>
    <font>
      <name val="Calibri"/>
      <b val="1"/>
      <color rgb="00172852"/>
      <sz val="22"/>
    </font>
    <font>
      <name val="Calibri"/>
      <b val="1"/>
      <color rgb="0071B4BE"/>
      <sz val="22"/>
    </font>
  </fonts>
  <fills count="9">
    <fill>
      <patternFill/>
    </fill>
    <fill>
      <patternFill patternType="gray125"/>
    </fill>
    <fill>
      <patternFill patternType="solid">
        <fgColor rgb="00172852"/>
        <bgColor rgb="00172852"/>
      </patternFill>
    </fill>
    <fill>
      <patternFill patternType="solid">
        <fgColor rgb="00DCEEF4"/>
        <bgColor rgb="00DCEEF4"/>
      </patternFill>
    </fill>
    <fill>
      <patternFill patternType="solid">
        <fgColor rgb="00E31D93"/>
        <bgColor rgb="00E31D93"/>
      </patternFill>
    </fill>
    <fill>
      <patternFill patternType="solid">
        <fgColor rgb="0071B4BE"/>
        <bgColor rgb="0071B4BE"/>
      </patternFill>
    </fill>
    <fill>
      <patternFill patternType="solid">
        <fgColor rgb="00E0E0E0"/>
        <bgColor rgb="00E0E0E0"/>
      </patternFill>
    </fill>
    <fill>
      <patternFill patternType="solid">
        <fgColor rgb="0000B2E3"/>
        <bgColor rgb="0000B2E3"/>
      </patternFill>
    </fill>
    <fill>
      <patternFill patternType="solid">
        <fgColor rgb="00CCA1DD"/>
        <bgColor rgb="00CCA1DD"/>
      </patternFill>
    </fill>
  </fills>
  <borders count="3">
    <border>
      <left/>
      <right/>
      <top/>
      <bottom/>
      <diagonal/>
    </border>
    <border>
      <left style="medium">
        <color rgb="00172852"/>
      </left>
      <right style="medium">
        <color rgb="00172852"/>
      </right>
      <top style="medium">
        <color rgb="00172852"/>
      </top>
      <bottom style="medium">
        <color rgb="00172852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5" fillId="3" borderId="2" pivotButton="0" quotePrefix="0" xfId="0"/>
    <xf numFmtId="0" fontId="9" fillId="0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167" fontId="0" fillId="6" borderId="0" pivotButton="0" quotePrefix="0" xfId="0"/>
    <xf numFmtId="3" fontId="0" fillId="0" borderId="0" pivotButton="0" quotePrefix="0" xfId="0"/>
    <xf numFmtId="0" fontId="4" fillId="7" borderId="0" pivotButton="0" quotePrefix="0" xfId="0"/>
    <xf numFmtId="165" fontId="0" fillId="7" borderId="0" pivotButton="0" quotePrefix="0" xfId="0"/>
    <xf numFmtId="165" fontId="0" fillId="0" borderId="0" pivotButton="0" quotePrefix="0" xfId="0"/>
    <xf numFmtId="0" fontId="12" fillId="0" borderId="0" pivotButton="0" quotePrefix="0" xfId="0"/>
    <xf numFmtId="165" fontId="0" fillId="6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5" borderId="0" pivotButton="0" quotePrefix="0" xfId="0"/>
    <xf numFmtId="164" fontId="0" fillId="5" borderId="0" pivotButton="0" quotePrefix="0" xfId="0"/>
    <xf numFmtId="164" fontId="3" fillId="2" borderId="0" pivotButton="0" quotePrefix="0" xfId="0"/>
    <xf numFmtId="10" fontId="10" fillId="4" borderId="0" pivotButton="0" quotePrefix="0" xfId="0"/>
    <xf numFmtId="0" fontId="13" fillId="0" borderId="0" pivotButton="0" quotePrefix="0" xfId="0"/>
    <xf numFmtId="0" fontId="14" fillId="6" borderId="0" pivotButton="0" quotePrefix="0" xfId="0"/>
    <xf numFmtId="1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15" fillId="0" borderId="0" pivotButton="0" quotePrefix="0" xfId="0"/>
    <xf numFmtId="165" fontId="0" fillId="8" borderId="0" pivotButton="0" quotePrefix="0" xfId="0"/>
    <xf numFmtId="0" fontId="3" fillId="4" borderId="0" applyAlignment="1" pivotButton="0" quotePrefix="0" xfId="0">
      <alignment horizontal="center"/>
    </xf>
    <xf numFmtId="10" fontId="16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0" fontId="17" fillId="0" borderId="0" pivotButton="0" quotePrefix="0" xfId="0"/>
    <xf numFmtId="9" fontId="0" fillId="3" borderId="0" pivotButton="0" quotePrefix="0" xfId="0"/>
    <xf numFmtId="0" fontId="18" fillId="0" borderId="0" pivotButton="0" quotePrefix="0" xfId="0"/>
    <xf numFmtId="10" fontId="19" fillId="0" borderId="0" pivotButton="0" quotePrefix="0" xfId="0"/>
    <xf numFmtId="164" fontId="20" fillId="0" borderId="0" pivotButton="0" quotePrefix="0" xfId="0"/>
    <xf numFmtId="165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GTN %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'Charts'!B7</f>
            </strRef>
          </tx>
          <spPr>
            <a:ln xmlns:a="http://schemas.openxmlformats.org/drawingml/2006/main" w="25000">
              <a:solidFill>
                <a:srgbClr val="E31D93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31D93"/>
              </a:solidFill>
              <a:ln xmlns:a="http://schemas.openxmlformats.org/drawingml/2006/main">
                <a:prstDash val="solid"/>
              </a:ln>
            </spPr>
          </marker>
          <cat>
            <numRef>
              <f>'Charts'!$A$8:$A$19</f>
            </numRef>
          </cat>
          <val>
            <numRef>
              <f>'Charts'!$B$8:$B$19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GTN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Coverage Impact on GTN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'Charts'!B7</f>
            </strRef>
          </tx>
          <spPr>
            <a:ln xmlns:a="http://schemas.openxmlformats.org/drawingml/2006/main" w="25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'Charts'!$A$8:$A$19</f>
            </numRef>
          </cat>
          <val>
            <numRef>
              <f>'Charts'!$B$8:$B$19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'Charts'!C7</f>
            </strRef>
          </tx>
          <spPr>
            <a:ln xmlns:a="http://schemas.openxmlformats.org/drawingml/2006/main" w="25000">
              <a:solidFill>
                <a:srgbClr val="71B4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'Charts'!$C$8:$C$19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GTN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 Costs: Covered vs Not Covered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'Charts'!D7</f>
            </strRef>
          </tx>
          <spPr>
            <a:solidFill xmlns:a="http://schemas.openxmlformats.org/drawingml/2006/main">
              <a:srgbClr val="71B4BE"/>
            </a:solidFill>
            <a:ln xmlns:a="http://schemas.openxmlformats.org/drawingml/2006/main">
              <a:prstDash val="solid"/>
            </a:ln>
          </spPr>
          <cat>
            <numRef>
              <f>'Charts'!$A$8:$A$19</f>
            </numRef>
          </cat>
          <val>
            <numRef>
              <f>'Charts'!$D$8:$D$19</f>
            </numRef>
          </val>
        </ser>
        <ser>
          <idx val="1"/>
          <order val="1"/>
          <tx>
            <strRef>
              <f>'Charts'!E7</f>
            </strRef>
          </tx>
          <spPr>
            <a:solidFill xmlns:a="http://schemas.openxmlformats.org/drawingml/2006/main">
              <a:srgbClr val="E31D93"/>
            </a:solidFill>
            <a:ln xmlns:a="http://schemas.openxmlformats.org/drawingml/2006/main">
              <a:prstDash val="solid"/>
            </a:ln>
          </spPr>
          <cat>
            <numRef>
              <f>'Charts'!$A$8:$A$19</f>
            </numRef>
          </cat>
          <val>
            <numRef>
              <f>'Charts'!$E$8:$E$19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GTN %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'Scenarios'!B20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7285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31D93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1B4B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B2E3"/>
              </a:solidFill>
              <a:ln xmlns:a="http://schemas.openxmlformats.org/drawingml/2006/main">
                <a:prstDash val="solid"/>
              </a:ln>
            </spPr>
          </dPt>
          <cat>
            <numRef>
              <f>'Scenarios'!$A$21:$A$24</f>
            </numRef>
          </cat>
          <val>
            <numRef>
              <f>'Scenarios'!$B$21:$B$24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GTN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3.png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6</row>
      <rowOff>0</rowOff>
    </from>
    <ext cx="43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61"/>
  <sheetViews>
    <sheetView workbookViewId="0">
      <selection activeCell="A1" sqref="A1"/>
    </sheetView>
  </sheetViews>
  <sheetFormatPr baseColWidth="8" defaultRowHeight="15"/>
  <cols>
    <col width="32" customWidth="1" min="1" max="1"/>
    <col width="3" customWidth="1" min="2" max="2"/>
    <col width="15" customWidth="1" min="3" max="3"/>
    <col width="25" customWidth="1" min="4" max="4"/>
  </cols>
  <sheetData>
    <row r="4">
      <c r="A4" s="1" t="inlineStr">
        <is>
          <t>MODEL ASSUMPTIONS</t>
        </is>
      </c>
    </row>
    <row r="5">
      <c r="A5" s="2" t="inlineStr">
        <is>
          <t>Edit BLUE cells to change assumptions → Model &amp; Charts update automatically</t>
        </is>
      </c>
    </row>
    <row r="7">
      <c r="A7" s="3" t="inlineStr">
        <is>
          <t>CORE PRICING &amp; PROGRAM RULES</t>
        </is>
      </c>
    </row>
    <row r="8">
      <c r="A8" s="4" t="inlineStr">
        <is>
          <t>WAC Price</t>
        </is>
      </c>
      <c r="C8" s="5" t="n">
        <v>1649</v>
      </c>
      <c r="D8" s="6" t="inlineStr">
        <is>
          <t>Static for 12 months</t>
        </is>
      </c>
    </row>
    <row r="9">
      <c r="A9" s="4" t="inlineStr">
        <is>
          <t>Pay No More Than</t>
        </is>
      </c>
      <c r="C9" s="5" t="n">
        <v>25</v>
      </c>
      <c r="D9" s="6" t="inlineStr">
        <is>
          <t>Patient max OOP</t>
        </is>
      </c>
    </row>
    <row r="10">
      <c r="A10" s="4" t="inlineStr">
        <is>
          <t>Redemption Rate</t>
        </is>
      </c>
      <c r="C10" s="7" t="n">
        <v>0.8</v>
      </c>
      <c r="D10" s="6" t="inlineStr">
        <is>
          <t>Program redemption</t>
        </is>
      </c>
    </row>
    <row r="11">
      <c r="A11" s="4" t="inlineStr">
        <is>
          <t>Medical Exception Pullthrough</t>
        </is>
      </c>
      <c r="C11" s="7" t="n">
        <v>0</v>
      </c>
      <c r="D11" s="6" t="inlineStr">
        <is>
          <t>Exception approval rate</t>
        </is>
      </c>
    </row>
    <row r="13">
      <c r="A13" s="3" t="inlineStr">
        <is>
          <t>COST SHARING STRUCTURE</t>
        </is>
      </c>
    </row>
    <row r="14">
      <c r="A14" t="inlineStr">
        <is>
          <t>Copay Mix %</t>
        </is>
      </c>
      <c r="C14" s="7" t="n">
        <v>0.8</v>
      </c>
    </row>
    <row r="15">
      <c r="A15" t="inlineStr">
        <is>
          <t>Coinsurance Mix %</t>
        </is>
      </c>
      <c r="C15" s="7" t="n">
        <v>0.2</v>
      </c>
    </row>
    <row r="16">
      <c r="A16" t="inlineStr">
        <is>
          <t>Copay Amount (Tier 3)</t>
        </is>
      </c>
      <c r="C16" s="5" t="n">
        <v>65</v>
      </c>
    </row>
    <row r="17">
      <c r="A17" t="inlineStr">
        <is>
          <t>Coinsurance Rate (Tier 3)</t>
        </is>
      </c>
      <c r="C17" s="7" t="n">
        <v>0.35</v>
      </c>
    </row>
    <row r="18">
      <c r="A18" t="inlineStr">
        <is>
          <t>Not Covered Buydown</t>
        </is>
      </c>
      <c r="C18" s="8" t="n">
        <v>1764.175</v>
      </c>
      <c r="D18" s="6" t="inlineStr">
        <is>
          <t>Buydown to $35 target</t>
        </is>
      </c>
    </row>
    <row r="20">
      <c r="A20" s="9" t="inlineStr">
        <is>
          <t>COVERAGE UPTAKE FORECAST (% of Commercial Lives Covered)</t>
        </is>
      </c>
    </row>
    <row r="21">
      <c r="A21" s="10" t="inlineStr">
        <is>
          <t>Higher coverage = Lower GTN (less not-covered buydown)</t>
        </is>
      </c>
    </row>
    <row r="22">
      <c r="A22" s="11" t="inlineStr">
        <is>
          <t>Jan</t>
        </is>
      </c>
      <c r="C22" s="12" t="n">
        <v>0</v>
      </c>
      <c r="D22" s="13">
        <f>REPT("█",ROUND(C22*20,0))</f>
        <v/>
      </c>
    </row>
    <row r="23">
      <c r="A23" s="11" t="inlineStr">
        <is>
          <t>Feb</t>
        </is>
      </c>
      <c r="C23" s="12" t="n">
        <v>0</v>
      </c>
      <c r="D23" s="13">
        <f>REPT("█",ROUND(C23*20,0))</f>
        <v/>
      </c>
    </row>
    <row r="24">
      <c r="A24" s="11" t="inlineStr">
        <is>
          <t>Mar</t>
        </is>
      </c>
      <c r="C24" s="12" t="n">
        <v>0</v>
      </c>
      <c r="D24" s="13">
        <f>REPT("█",ROUND(C24*20,0))</f>
        <v/>
      </c>
    </row>
    <row r="25">
      <c r="A25" s="11" t="inlineStr">
        <is>
          <t>Apr</t>
        </is>
      </c>
      <c r="C25" s="12" t="n">
        <v>0.06</v>
      </c>
      <c r="D25" s="13">
        <f>REPT("█",ROUND(C25*20,0))</f>
        <v/>
      </c>
    </row>
    <row r="26">
      <c r="A26" s="11" t="inlineStr">
        <is>
          <t>May</t>
        </is>
      </c>
      <c r="C26" s="12" t="n">
        <v>0.11</v>
      </c>
      <c r="D26" s="13">
        <f>REPT("█",ROUND(C26*20,0))</f>
        <v/>
      </c>
    </row>
    <row r="27">
      <c r="A27" s="11" t="inlineStr">
        <is>
          <t>Jun</t>
        </is>
      </c>
      <c r="C27" s="12" t="n">
        <v>0.29</v>
      </c>
      <c r="D27" s="13">
        <f>REPT("█",ROUND(C27*20,0))</f>
        <v/>
      </c>
    </row>
    <row r="28">
      <c r="A28" s="11" t="inlineStr">
        <is>
          <t>Jul</t>
        </is>
      </c>
      <c r="C28" s="12" t="n">
        <v>0.44</v>
      </c>
      <c r="D28" s="13">
        <f>REPT("█",ROUND(C28*20,0))</f>
        <v/>
      </c>
    </row>
    <row r="29">
      <c r="A29" s="11" t="inlineStr">
        <is>
          <t>Aug</t>
        </is>
      </c>
      <c r="C29" s="12" t="n">
        <v>0.52</v>
      </c>
      <c r="D29" s="13">
        <f>REPT("█",ROUND(C29*20,0))</f>
        <v/>
      </c>
    </row>
    <row r="30">
      <c r="A30" s="11" t="inlineStr">
        <is>
          <t>Sep</t>
        </is>
      </c>
      <c r="C30" s="12" t="n">
        <v>0.58</v>
      </c>
      <c r="D30" s="13">
        <f>REPT("█",ROUND(C30*20,0))</f>
        <v/>
      </c>
    </row>
    <row r="31">
      <c r="A31" s="11" t="inlineStr">
        <is>
          <t>Oct</t>
        </is>
      </c>
      <c r="C31" s="12" t="n">
        <v>0.58</v>
      </c>
      <c r="D31" s="13">
        <f>REPT("█",ROUND(C31*20,0))</f>
        <v/>
      </c>
    </row>
    <row r="32">
      <c r="A32" s="11" t="inlineStr">
        <is>
          <t>Nov</t>
        </is>
      </c>
      <c r="C32" s="12" t="n">
        <v>0.58</v>
      </c>
      <c r="D32" s="13">
        <f>REPT("█",ROUND(C32*20,0))</f>
        <v/>
      </c>
    </row>
    <row r="33">
      <c r="A33" s="11" t="inlineStr">
        <is>
          <t>Dec</t>
        </is>
      </c>
      <c r="C33" s="12" t="n">
        <v>0.58</v>
      </c>
      <c r="D33" s="13">
        <f>REPT("█",ROUND(C33*20,0))</f>
        <v/>
      </c>
    </row>
    <row r="35">
      <c r="A35" s="14" t="inlineStr">
        <is>
          <t>DEDUCTIBLE MET (% by Month)</t>
        </is>
      </c>
    </row>
    <row r="36">
      <c r="A36" s="11" t="inlineStr">
        <is>
          <t>Jan</t>
        </is>
      </c>
      <c r="C36" s="12" t="n">
        <v>0.03</v>
      </c>
    </row>
    <row r="37">
      <c r="A37" s="11" t="inlineStr">
        <is>
          <t>Feb</t>
        </is>
      </c>
      <c r="C37" s="12" t="n">
        <v>0.11</v>
      </c>
    </row>
    <row r="38">
      <c r="A38" s="11" t="inlineStr">
        <is>
          <t>Mar</t>
        </is>
      </c>
      <c r="C38" s="12" t="n">
        <v>0.2</v>
      </c>
    </row>
    <row r="39">
      <c r="A39" s="11" t="inlineStr">
        <is>
          <t>Apr</t>
        </is>
      </c>
      <c r="C39" s="12" t="n">
        <v>0.295</v>
      </c>
    </row>
    <row r="40">
      <c r="A40" s="11" t="inlineStr">
        <is>
          <t>May</t>
        </is>
      </c>
      <c r="C40" s="12" t="n">
        <v>0.395</v>
      </c>
    </row>
    <row r="41">
      <c r="A41" s="11" t="inlineStr">
        <is>
          <t>Jun</t>
        </is>
      </c>
      <c r="C41" s="12" t="n">
        <v>0.495</v>
      </c>
    </row>
    <row r="42">
      <c r="A42" s="11" t="inlineStr">
        <is>
          <t>Jul</t>
        </is>
      </c>
      <c r="C42" s="12" t="n">
        <v>0.595</v>
      </c>
    </row>
    <row r="43">
      <c r="A43" s="11" t="inlineStr">
        <is>
          <t>Aug</t>
        </is>
      </c>
      <c r="C43" s="12" t="n">
        <v>0.6899999999999999</v>
      </c>
    </row>
    <row r="44">
      <c r="A44" s="11" t="inlineStr">
        <is>
          <t>Sep</t>
        </is>
      </c>
      <c r="C44" s="12" t="n">
        <v>0.785</v>
      </c>
    </row>
    <row r="45">
      <c r="A45" s="11" t="inlineStr">
        <is>
          <t>Oct</t>
        </is>
      </c>
      <c r="C45" s="12" t="n">
        <v>0.885</v>
      </c>
    </row>
    <row r="46">
      <c r="A46" s="11" t="inlineStr">
        <is>
          <t>Nov</t>
        </is>
      </c>
      <c r="C46" s="12" t="n">
        <v>0.949</v>
      </c>
    </row>
    <row r="47">
      <c r="A47" s="11" t="inlineStr">
        <is>
          <t>Dec</t>
        </is>
      </c>
      <c r="C47" s="12" t="n">
        <v>0.95</v>
      </c>
    </row>
    <row r="49">
      <c r="A49" s="3" t="inlineStr">
        <is>
          <t>PAYER MIX (Commercial %)</t>
        </is>
      </c>
    </row>
    <row r="50">
      <c r="A50" s="11" t="inlineStr">
        <is>
          <t>Jan</t>
        </is>
      </c>
      <c r="C50" s="12" t="n">
        <v>0.96</v>
      </c>
    </row>
    <row r="51">
      <c r="A51" s="11" t="inlineStr">
        <is>
          <t>Feb</t>
        </is>
      </c>
      <c r="C51" s="12" t="n">
        <v>0.96</v>
      </c>
    </row>
    <row r="52">
      <c r="A52" s="11" t="inlineStr">
        <is>
          <t>Mar</t>
        </is>
      </c>
      <c r="C52" s="12" t="n">
        <v>0.96</v>
      </c>
    </row>
    <row r="53">
      <c r="A53" s="11" t="inlineStr">
        <is>
          <t>Apr</t>
        </is>
      </c>
      <c r="C53" s="12" t="n">
        <v>0.95</v>
      </c>
    </row>
    <row r="54">
      <c r="A54" s="11" t="inlineStr">
        <is>
          <t>May</t>
        </is>
      </c>
      <c r="C54" s="12" t="n">
        <v>0.95</v>
      </c>
    </row>
    <row r="55">
      <c r="A55" s="11" t="inlineStr">
        <is>
          <t>Jun</t>
        </is>
      </c>
      <c r="C55" s="12" t="n">
        <v>0.95</v>
      </c>
    </row>
    <row r="56">
      <c r="A56" s="11" t="inlineStr">
        <is>
          <t>Jul</t>
        </is>
      </c>
      <c r="C56" s="12" t="n">
        <v>0.9</v>
      </c>
    </row>
    <row r="57">
      <c r="A57" s="11" t="inlineStr">
        <is>
          <t>Aug</t>
        </is>
      </c>
      <c r="C57" s="12" t="n">
        <v>0.9</v>
      </c>
    </row>
    <row r="58">
      <c r="A58" s="11" t="inlineStr">
        <is>
          <t>Sep</t>
        </is>
      </c>
      <c r="C58" s="12" t="n">
        <v>0.9</v>
      </c>
    </row>
    <row r="59">
      <c r="A59" s="11" t="inlineStr">
        <is>
          <t>Oct</t>
        </is>
      </c>
      <c r="C59" s="12" t="n">
        <v>0.9</v>
      </c>
    </row>
    <row r="60">
      <c r="A60" s="11" t="inlineStr">
        <is>
          <t>Nov</t>
        </is>
      </c>
      <c r="C60" s="12" t="n">
        <v>0.9</v>
      </c>
    </row>
    <row r="61">
      <c r="A61" s="11" t="inlineStr">
        <is>
          <t>Dec</t>
        </is>
      </c>
      <c r="C61" s="12" t="n">
        <v>0.9</v>
      </c>
    </row>
  </sheetData>
  <mergeCells count="8">
    <mergeCell ref="A35:D35"/>
    <mergeCell ref="A5:F5"/>
    <mergeCell ref="A20:D20"/>
    <mergeCell ref="A21:D21"/>
    <mergeCell ref="A7:D7"/>
    <mergeCell ref="A4:F4"/>
    <mergeCell ref="A49:D49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R28"/>
  <sheetViews>
    <sheetView workbookViewId="0">
      <selection activeCell="A1" sqref="A1"/>
    </sheetView>
  </sheetViews>
  <sheetFormatPr baseColWidth="8" defaultRowHeight="15"/>
  <cols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25" customWidth="1" min="18" max="18"/>
  </cols>
  <sheetData>
    <row r="1">
      <c r="D1" s="15" t="inlineStr">
        <is>
          <t>DETAILED AFFORDABILITY MODEL</t>
        </is>
      </c>
    </row>
    <row r="2">
      <c r="E2" s="16" t="n">
        <v>2026</v>
      </c>
    </row>
    <row r="3">
      <c r="E3" s="17" t="inlineStr">
        <is>
          <t>Jan</t>
        </is>
      </c>
      <c r="F3" s="17" t="inlineStr">
        <is>
          <t>Feb</t>
        </is>
      </c>
      <c r="G3" s="17" t="inlineStr">
        <is>
          <t>Mar</t>
        </is>
      </c>
      <c r="H3" s="17" t="inlineStr">
        <is>
          <t>Apr</t>
        </is>
      </c>
      <c r="I3" s="17" t="inlineStr">
        <is>
          <t>May</t>
        </is>
      </c>
      <c r="J3" s="17" t="inlineStr">
        <is>
          <t>Jun</t>
        </is>
      </c>
      <c r="K3" s="17" t="inlineStr">
        <is>
          <t>Jul</t>
        </is>
      </c>
      <c r="L3" s="17" t="inlineStr">
        <is>
          <t>Aug</t>
        </is>
      </c>
      <c r="M3" s="17" t="inlineStr">
        <is>
          <t>Sep</t>
        </is>
      </c>
      <c r="N3" s="17" t="inlineStr">
        <is>
          <t>Oct</t>
        </is>
      </c>
      <c r="O3" s="17" t="inlineStr">
        <is>
          <t>Nov</t>
        </is>
      </c>
      <c r="P3" s="17" t="inlineStr">
        <is>
          <t>Dec</t>
        </is>
      </c>
      <c r="Q3" s="16" t="inlineStr">
        <is>
          <t>ANNUAL</t>
        </is>
      </c>
      <c r="R3" s="3" t="inlineStr">
        <is>
          <t>Notes</t>
        </is>
      </c>
    </row>
    <row r="4">
      <c r="D4" s="4" t="inlineStr">
        <is>
          <t>TRx Forecast (Covered Commercial)</t>
        </is>
      </c>
      <c r="E4" s="18" t="n">
        <v>0</v>
      </c>
      <c r="F4" s="18" t="n">
        <v>50.23</v>
      </c>
      <c r="G4" s="18" t="n">
        <v>83.78</v>
      </c>
      <c r="H4" s="18" t="n">
        <v>131.82</v>
      </c>
      <c r="I4" s="18" t="n">
        <v>300.71</v>
      </c>
      <c r="J4" s="18" t="n">
        <v>667.02</v>
      </c>
      <c r="K4" s="18" t="n">
        <v>1151.06</v>
      </c>
      <c r="L4" s="18" t="n">
        <v>1505.31</v>
      </c>
      <c r="M4" s="18" t="n">
        <v>1940.22</v>
      </c>
      <c r="N4" s="18" t="n">
        <v>2448.98</v>
      </c>
      <c r="O4" s="18" t="n">
        <v>2812.1</v>
      </c>
      <c r="P4" s="18" t="n">
        <v>3322.67</v>
      </c>
      <c r="Q4" s="19">
        <f>SUM(E4:P4)</f>
        <v/>
      </c>
      <c r="R4" s="6" t="inlineStr">
        <is>
          <t>From Demand Forecast</t>
        </is>
      </c>
    </row>
    <row r="5">
      <c r="D5" s="4" t="inlineStr">
        <is>
          <t>TRx Forecast (Not Covered Commercial)</t>
        </is>
      </c>
      <c r="E5" s="18" t="n">
        <v>0</v>
      </c>
      <c r="F5" s="18" t="n">
        <v>64.58</v>
      </c>
      <c r="G5" s="18" t="n">
        <v>104</v>
      </c>
      <c r="H5" s="18" t="n">
        <v>158.18</v>
      </c>
      <c r="I5" s="18" t="n">
        <v>199.99</v>
      </c>
      <c r="J5" s="18" t="n">
        <v>192.77</v>
      </c>
      <c r="K5" s="18" t="n">
        <v>194.47</v>
      </c>
      <c r="L5" s="18" t="n">
        <v>249.11</v>
      </c>
      <c r="M5" s="18" t="n">
        <v>350.07</v>
      </c>
      <c r="N5" s="18" t="n">
        <v>191</v>
      </c>
      <c r="O5" s="18" t="n">
        <v>281.41</v>
      </c>
      <c r="P5" s="18" t="n">
        <v>359.88</v>
      </c>
      <c r="Q5" s="19">
        <f>SUM(E5:P5)</f>
        <v/>
      </c>
    </row>
    <row r="6">
      <c r="D6" s="20" t="inlineStr">
        <is>
          <t>Coverage Uptake %</t>
        </is>
      </c>
      <c r="E6" s="21">
        <f>Assumptions!C22</f>
        <v/>
      </c>
      <c r="F6" s="21">
        <f>Assumptions!C23</f>
        <v/>
      </c>
      <c r="G6" s="21">
        <f>Assumptions!C24</f>
        <v/>
      </c>
      <c r="H6" s="21">
        <f>Assumptions!C25</f>
        <v/>
      </c>
      <c r="I6" s="21">
        <f>Assumptions!C26</f>
        <v/>
      </c>
      <c r="J6" s="21">
        <f>Assumptions!C27</f>
        <v/>
      </c>
      <c r="K6" s="21">
        <f>Assumptions!C28</f>
        <v/>
      </c>
      <c r="L6" s="21">
        <f>Assumptions!C29</f>
        <v/>
      </c>
      <c r="M6" s="21">
        <f>Assumptions!C30</f>
        <v/>
      </c>
      <c r="N6" s="21">
        <f>Assumptions!C31</f>
        <v/>
      </c>
      <c r="O6" s="21">
        <f>Assumptions!C32</f>
        <v/>
      </c>
      <c r="P6" s="21">
        <f>Assumptions!C33</f>
        <v/>
      </c>
      <c r="Q6" s="22">
        <f>AVERAGE(E6:P6)</f>
        <v/>
      </c>
      <c r="R6" s="23" t="inlineStr">
        <is>
          <t>KEY: From Coverage Tracker</t>
        </is>
      </c>
    </row>
    <row r="7">
      <c r="D7" s="4" t="inlineStr">
        <is>
          <t>Payer Mix (Commercial)</t>
        </is>
      </c>
      <c r="E7" s="24">
        <f>Assumptions!C50</f>
        <v/>
      </c>
      <c r="F7" s="24">
        <f>Assumptions!C51</f>
        <v/>
      </c>
      <c r="G7" s="24">
        <f>Assumptions!C52</f>
        <v/>
      </c>
      <c r="H7" s="24">
        <f>Assumptions!C53</f>
        <v/>
      </c>
      <c r="I7" s="24">
        <f>Assumptions!C54</f>
        <v/>
      </c>
      <c r="J7" s="24">
        <f>Assumptions!C55</f>
        <v/>
      </c>
      <c r="K7" s="24">
        <f>Assumptions!C56</f>
        <v/>
      </c>
      <c r="L7" s="24">
        <f>Assumptions!C57</f>
        <v/>
      </c>
      <c r="M7" s="24">
        <f>Assumptions!C58</f>
        <v/>
      </c>
      <c r="N7" s="24">
        <f>Assumptions!C59</f>
        <v/>
      </c>
      <c r="O7" s="24">
        <f>Assumptions!C60</f>
        <v/>
      </c>
      <c r="P7" s="24">
        <f>Assumptions!C61</f>
        <v/>
      </c>
    </row>
    <row r="8">
      <c r="D8" s="4" t="inlineStr">
        <is>
          <t>% Covered Claims</t>
        </is>
      </c>
      <c r="E8" s="22">
        <f>E6+((1-E6)*Assumptions!$C$11)</f>
        <v/>
      </c>
      <c r="F8" s="22">
        <f>F6+((1-F6)*Assumptions!$C$11)</f>
        <v/>
      </c>
      <c r="G8" s="22">
        <f>G6+((1-G6)*Assumptions!$C$11)</f>
        <v/>
      </c>
      <c r="H8" s="22">
        <f>H6+((1-H6)*Assumptions!$C$11)</f>
        <v/>
      </c>
      <c r="I8" s="22">
        <f>I6+((1-I6)*Assumptions!$C$11)</f>
        <v/>
      </c>
      <c r="J8" s="22">
        <f>J6+((1-J6)*Assumptions!$C$11)</f>
        <v/>
      </c>
      <c r="K8" s="22">
        <f>K6+((1-K6)*Assumptions!$C$11)</f>
        <v/>
      </c>
      <c r="L8" s="22">
        <f>L6+((1-L6)*Assumptions!$C$11)</f>
        <v/>
      </c>
      <c r="M8" s="22">
        <f>M6+((1-M6)*Assumptions!$C$11)</f>
        <v/>
      </c>
      <c r="N8" s="22">
        <f>N6+((1-N6)*Assumptions!$C$11)</f>
        <v/>
      </c>
      <c r="O8" s="22">
        <f>O6+((1-O6)*Assumptions!$C$11)</f>
        <v/>
      </c>
      <c r="P8" s="22">
        <f>P6+((1-P6)*Assumptions!$C$11)</f>
        <v/>
      </c>
      <c r="Q8" s="22">
        <f>AVERAGE(E8:P8)</f>
        <v/>
      </c>
      <c r="R8" s="6" t="inlineStr">
        <is>
          <t>Coverage + Exception Pullthrough</t>
        </is>
      </c>
    </row>
    <row r="9">
      <c r="D9" s="4" t="inlineStr">
        <is>
          <t>% Not Covered Claims</t>
        </is>
      </c>
      <c r="E9" s="22">
        <f>1-E8</f>
        <v/>
      </c>
      <c r="F9" s="22">
        <f>1-F8</f>
        <v/>
      </c>
      <c r="G9" s="22">
        <f>1-G8</f>
        <v/>
      </c>
      <c r="H9" s="22">
        <f>1-H8</f>
        <v/>
      </c>
      <c r="I9" s="22">
        <f>1-I8</f>
        <v/>
      </c>
      <c r="J9" s="22">
        <f>1-J8</f>
        <v/>
      </c>
      <c r="K9" s="22">
        <f>1-K8</f>
        <v/>
      </c>
      <c r="L9" s="22">
        <f>1-L8</f>
        <v/>
      </c>
      <c r="M9" s="22">
        <f>1-M8</f>
        <v/>
      </c>
      <c r="N9" s="22">
        <f>1-N8</f>
        <v/>
      </c>
      <c r="O9" s="22">
        <f>1-O8</f>
        <v/>
      </c>
      <c r="P9" s="22">
        <f>1-P8</f>
        <v/>
      </c>
      <c r="Q9" s="22">
        <f>AVERAGE(E9:P9)</f>
        <v/>
      </c>
    </row>
    <row r="10">
      <c r="D10" s="4" t="inlineStr">
        <is>
          <t>% Met Deductible</t>
        </is>
      </c>
      <c r="E10" s="22">
        <f>Assumptions!C36</f>
        <v/>
      </c>
      <c r="F10" s="22">
        <f>Assumptions!C37</f>
        <v/>
      </c>
      <c r="G10" s="22">
        <f>Assumptions!C38</f>
        <v/>
      </c>
      <c r="H10" s="22">
        <f>Assumptions!C39</f>
        <v/>
      </c>
      <c r="I10" s="22">
        <f>Assumptions!C40</f>
        <v/>
      </c>
      <c r="J10" s="22">
        <f>Assumptions!C41</f>
        <v/>
      </c>
      <c r="K10" s="22">
        <f>Assumptions!C42</f>
        <v/>
      </c>
      <c r="L10" s="22">
        <f>Assumptions!C43</f>
        <v/>
      </c>
      <c r="M10" s="22">
        <f>Assumptions!C44</f>
        <v/>
      </c>
      <c r="N10" s="22">
        <f>Assumptions!C45</f>
        <v/>
      </c>
      <c r="O10" s="22">
        <f>Assumptions!C46</f>
        <v/>
      </c>
      <c r="P10" s="22">
        <f>Assumptions!C47</f>
        <v/>
      </c>
    </row>
    <row r="11">
      <c r="D11" t="inlineStr">
        <is>
          <t>% Copay Structure</t>
        </is>
      </c>
      <c r="E11" s="22">
        <f>Assumptions!$C$14</f>
        <v/>
      </c>
      <c r="F11" s="22">
        <f>Assumptions!$C$14</f>
        <v/>
      </c>
      <c r="G11" s="22">
        <f>Assumptions!$C$14</f>
        <v/>
      </c>
      <c r="H11" s="22">
        <f>Assumptions!$C$14</f>
        <v/>
      </c>
      <c r="I11" s="22">
        <f>Assumptions!$C$14</f>
        <v/>
      </c>
      <c r="J11" s="22">
        <f>Assumptions!$C$14</f>
        <v/>
      </c>
      <c r="K11" s="22">
        <f>Assumptions!$C$14</f>
        <v/>
      </c>
      <c r="L11" s="22">
        <f>Assumptions!$C$14</f>
        <v/>
      </c>
      <c r="M11" s="22">
        <f>Assumptions!$C$14</f>
        <v/>
      </c>
      <c r="N11" s="22">
        <f>Assumptions!$C$14</f>
        <v/>
      </c>
      <c r="O11" s="22">
        <f>Assumptions!$C$14</f>
        <v/>
      </c>
      <c r="P11" s="22">
        <f>Assumptions!$C$14</f>
        <v/>
      </c>
    </row>
    <row r="12">
      <c r="D12" t="inlineStr">
        <is>
          <t>Copay Amount</t>
        </is>
      </c>
      <c r="E12" s="25">
        <f>Assumptions!$C$16</f>
        <v/>
      </c>
      <c r="F12" s="25">
        <f>Assumptions!$C$16</f>
        <v/>
      </c>
      <c r="G12" s="25">
        <f>Assumptions!$C$16</f>
        <v/>
      </c>
      <c r="H12" s="25">
        <f>Assumptions!$C$16</f>
        <v/>
      </c>
      <c r="I12" s="25">
        <f>Assumptions!$C$16</f>
        <v/>
      </c>
      <c r="J12" s="25">
        <f>Assumptions!$C$16</f>
        <v/>
      </c>
      <c r="K12" s="25">
        <f>Assumptions!$C$16</f>
        <v/>
      </c>
      <c r="L12" s="25">
        <f>Assumptions!$C$16</f>
        <v/>
      </c>
      <c r="M12" s="25">
        <f>Assumptions!$C$16</f>
        <v/>
      </c>
      <c r="N12" s="25">
        <f>Assumptions!$C$16</f>
        <v/>
      </c>
      <c r="O12" s="25">
        <f>Assumptions!$C$16</f>
        <v/>
      </c>
      <c r="P12" s="25">
        <f>Assumptions!$C$16</f>
        <v/>
      </c>
    </row>
    <row r="13">
      <c r="D13" t="inlineStr">
        <is>
          <t>Copay Buydown</t>
        </is>
      </c>
      <c r="E13" s="25">
        <f>E12-Assumptions!$C$9</f>
        <v/>
      </c>
      <c r="F13" s="25">
        <f>F12-Assumptions!$C$9</f>
        <v/>
      </c>
      <c r="G13" s="25">
        <f>G12-Assumptions!$C$9</f>
        <v/>
      </c>
      <c r="H13" s="25">
        <f>H12-Assumptions!$C$9</f>
        <v/>
      </c>
      <c r="I13" s="25">
        <f>I12-Assumptions!$C$9</f>
        <v/>
      </c>
      <c r="J13" s="25">
        <f>J12-Assumptions!$C$9</f>
        <v/>
      </c>
      <c r="K13" s="25">
        <f>K12-Assumptions!$C$9</f>
        <v/>
      </c>
      <c r="L13" s="25">
        <f>L12-Assumptions!$C$9</f>
        <v/>
      </c>
      <c r="M13" s="25">
        <f>M12-Assumptions!$C$9</f>
        <v/>
      </c>
      <c r="N13" s="25">
        <f>N12-Assumptions!$C$9</f>
        <v/>
      </c>
      <c r="O13" s="25">
        <f>O12-Assumptions!$C$9</f>
        <v/>
      </c>
      <c r="P13" s="25">
        <f>P12-Assumptions!$C$9</f>
        <v/>
      </c>
    </row>
    <row r="14">
      <c r="D14" t="inlineStr">
        <is>
          <t>% Coinsurance Structure</t>
        </is>
      </c>
      <c r="E14" s="22">
        <f>Assumptions!$C$15</f>
        <v/>
      </c>
      <c r="F14" s="22">
        <f>Assumptions!$C$15</f>
        <v/>
      </c>
      <c r="G14" s="22">
        <f>Assumptions!$C$15</f>
        <v/>
      </c>
      <c r="H14" s="22">
        <f>Assumptions!$C$15</f>
        <v/>
      </c>
      <c r="I14" s="22">
        <f>Assumptions!$C$15</f>
        <v/>
      </c>
      <c r="J14" s="22">
        <f>Assumptions!$C$15</f>
        <v/>
      </c>
      <c r="K14" s="22">
        <f>Assumptions!$C$15</f>
        <v/>
      </c>
      <c r="L14" s="22">
        <f>Assumptions!$C$15</f>
        <v/>
      </c>
      <c r="M14" s="22">
        <f>Assumptions!$C$15</f>
        <v/>
      </c>
      <c r="N14" s="22">
        <f>Assumptions!$C$15</f>
        <v/>
      </c>
      <c r="O14" s="22">
        <f>Assumptions!$C$15</f>
        <v/>
      </c>
      <c r="P14" s="22">
        <f>Assumptions!$C$15</f>
        <v/>
      </c>
    </row>
    <row r="15">
      <c r="D15" t="inlineStr">
        <is>
          <t>Coinsurance Amount</t>
        </is>
      </c>
      <c r="E15" s="25">
        <f>Assumptions!$C$17*Assumptions!$C$8</f>
        <v/>
      </c>
      <c r="F15" s="25">
        <f>Assumptions!$C$17*Assumptions!$C$8</f>
        <v/>
      </c>
      <c r="G15" s="25">
        <f>Assumptions!$C$17*Assumptions!$C$8</f>
        <v/>
      </c>
      <c r="H15" s="25">
        <f>Assumptions!$C$17*Assumptions!$C$8</f>
        <v/>
      </c>
      <c r="I15" s="25">
        <f>Assumptions!$C$17*Assumptions!$C$8</f>
        <v/>
      </c>
      <c r="J15" s="25">
        <f>Assumptions!$C$17*Assumptions!$C$8</f>
        <v/>
      </c>
      <c r="K15" s="25">
        <f>Assumptions!$C$17*Assumptions!$C$8</f>
        <v/>
      </c>
      <c r="L15" s="25">
        <f>Assumptions!$C$17*Assumptions!$C$8</f>
        <v/>
      </c>
      <c r="M15" s="25">
        <f>Assumptions!$C$17*Assumptions!$C$8</f>
        <v/>
      </c>
      <c r="N15" s="25">
        <f>Assumptions!$C$17*Assumptions!$C$8</f>
        <v/>
      </c>
      <c r="O15" s="25">
        <f>Assumptions!$C$17*Assumptions!$C$8</f>
        <v/>
      </c>
      <c r="P15" s="25">
        <f>Assumptions!$C$17*Assumptions!$C$8</f>
        <v/>
      </c>
    </row>
    <row r="16">
      <c r="D16" t="inlineStr">
        <is>
          <t>Coinsurance Buydown</t>
        </is>
      </c>
      <c r="E16" s="25">
        <f>E15-Assumptions!$C$9</f>
        <v/>
      </c>
      <c r="F16" s="25">
        <f>F15-Assumptions!$C$9</f>
        <v/>
      </c>
      <c r="G16" s="25">
        <f>G15-Assumptions!$C$9</f>
        <v/>
      </c>
      <c r="H16" s="25">
        <f>H15-Assumptions!$C$9</f>
        <v/>
      </c>
      <c r="I16" s="25">
        <f>I15-Assumptions!$C$9</f>
        <v/>
      </c>
      <c r="J16" s="25">
        <f>J15-Assumptions!$C$9</f>
        <v/>
      </c>
      <c r="K16" s="25">
        <f>K15-Assumptions!$C$9</f>
        <v/>
      </c>
      <c r="L16" s="25">
        <f>L15-Assumptions!$C$9</f>
        <v/>
      </c>
      <c r="M16" s="25">
        <f>M15-Assumptions!$C$9</f>
        <v/>
      </c>
      <c r="N16" s="25">
        <f>N15-Assumptions!$C$9</f>
        <v/>
      </c>
      <c r="O16" s="25">
        <f>O15-Assumptions!$C$9</f>
        <v/>
      </c>
      <c r="P16" s="25">
        <f>P15-Assumptions!$C$9</f>
        <v/>
      </c>
    </row>
    <row r="17">
      <c r="D17" t="inlineStr">
        <is>
          <t>Not Met Deductible Buydown</t>
        </is>
      </c>
      <c r="E17" s="25">
        <f>Assumptions!$C$8-Assumptions!$C$9</f>
        <v/>
      </c>
      <c r="F17" s="25">
        <f>Assumptions!$C$8-Assumptions!$C$9</f>
        <v/>
      </c>
      <c r="G17" s="25">
        <f>Assumptions!$C$8-Assumptions!$C$9</f>
        <v/>
      </c>
      <c r="H17" s="25">
        <f>Assumptions!$C$8-Assumptions!$C$9</f>
        <v/>
      </c>
      <c r="I17" s="25">
        <f>Assumptions!$C$8-Assumptions!$C$9</f>
        <v/>
      </c>
      <c r="J17" s="25">
        <f>Assumptions!$C$8-Assumptions!$C$9</f>
        <v/>
      </c>
      <c r="K17" s="25">
        <f>Assumptions!$C$8-Assumptions!$C$9</f>
        <v/>
      </c>
      <c r="L17" s="25">
        <f>Assumptions!$C$8-Assumptions!$C$9</f>
        <v/>
      </c>
      <c r="M17" s="25">
        <f>Assumptions!$C$8-Assumptions!$C$9</f>
        <v/>
      </c>
      <c r="N17" s="25">
        <f>Assumptions!$C$8-Assumptions!$C$9</f>
        <v/>
      </c>
      <c r="O17" s="25">
        <f>Assumptions!$C$8-Assumptions!$C$9</f>
        <v/>
      </c>
      <c r="P17" s="25">
        <f>Assumptions!$C$8-Assumptions!$C$9</f>
        <v/>
      </c>
    </row>
    <row r="18">
      <c r="D18" s="4" t="inlineStr">
        <is>
          <t>Avg Covered Discount %</t>
        </is>
      </c>
      <c r="E18" s="26">
        <f>((E11*E13/Assumptions!$C$8)+(E14*E16/Assumptions!$C$8))*E10+((1-E10)*E17/Assumptions!$C$8)</f>
        <v/>
      </c>
      <c r="F18" s="26">
        <f>((F11*F13/Assumptions!$C$8)+(F14*F16/Assumptions!$C$8))*F10+((1-F10)*F17/Assumptions!$C$8)</f>
        <v/>
      </c>
      <c r="G18" s="26">
        <f>((G11*G13/Assumptions!$C$8)+(G14*G16/Assumptions!$C$8))*G10+((1-G10)*G17/Assumptions!$C$8)</f>
        <v/>
      </c>
      <c r="H18" s="26">
        <f>((H11*H13/Assumptions!$C$8)+(H14*H16/Assumptions!$C$8))*H10+((1-H10)*H17/Assumptions!$C$8)</f>
        <v/>
      </c>
      <c r="I18" s="26">
        <f>((I11*I13/Assumptions!$C$8)+(I14*I16/Assumptions!$C$8))*I10+((1-I10)*I17/Assumptions!$C$8)</f>
        <v/>
      </c>
      <c r="J18" s="26">
        <f>((J11*J13/Assumptions!$C$8)+(J14*J16/Assumptions!$C$8))*J10+((1-J10)*J17/Assumptions!$C$8)</f>
        <v/>
      </c>
      <c r="K18" s="26">
        <f>((K11*K13/Assumptions!$C$8)+(K14*K16/Assumptions!$C$8))*K10+((1-K10)*K17/Assumptions!$C$8)</f>
        <v/>
      </c>
      <c r="L18" s="26">
        <f>((L11*L13/Assumptions!$C$8)+(L14*L16/Assumptions!$C$8))*L10+((1-L10)*L17/Assumptions!$C$8)</f>
        <v/>
      </c>
      <c r="M18" s="26">
        <f>((M11*M13/Assumptions!$C$8)+(M14*M16/Assumptions!$C$8))*M10+((1-M10)*M17/Assumptions!$C$8)</f>
        <v/>
      </c>
      <c r="N18" s="26">
        <f>((N11*N13/Assumptions!$C$8)+(N14*N16/Assumptions!$C$8))*N10+((1-N10)*N17/Assumptions!$C$8)</f>
        <v/>
      </c>
      <c r="O18" s="26">
        <f>((O11*O13/Assumptions!$C$8)+(O14*O16/Assumptions!$C$8))*O10+((1-O10)*O17/Assumptions!$C$8)</f>
        <v/>
      </c>
      <c r="P18" s="26">
        <f>((P11*P13/Assumptions!$C$8)+(P14*P16/Assumptions!$C$8))*P10+((1-P10)*P17/Assumptions!$C$8)</f>
        <v/>
      </c>
      <c r="Q18" s="26">
        <f>AVERAGE(E18:P18)</f>
        <v/>
      </c>
    </row>
    <row r="19">
      <c r="D19" t="inlineStr">
        <is>
          <t>Avg Covered Benefit ($)</t>
        </is>
      </c>
      <c r="E19" s="25">
        <f>E18*Assumptions!$C$8</f>
        <v/>
      </c>
      <c r="F19" s="25">
        <f>F18*Assumptions!$C$8</f>
        <v/>
      </c>
      <c r="G19" s="25">
        <f>G18*Assumptions!$C$8</f>
        <v/>
      </c>
      <c r="H19" s="25">
        <f>H18*Assumptions!$C$8</f>
        <v/>
      </c>
      <c r="I19" s="25">
        <f>I18*Assumptions!$C$8</f>
        <v/>
      </c>
      <c r="J19" s="25">
        <f>J18*Assumptions!$C$8</f>
        <v/>
      </c>
      <c r="K19" s="25">
        <f>K18*Assumptions!$C$8</f>
        <v/>
      </c>
      <c r="L19" s="25">
        <f>L18*Assumptions!$C$8</f>
        <v/>
      </c>
      <c r="M19" s="25">
        <f>M18*Assumptions!$C$8</f>
        <v/>
      </c>
      <c r="N19" s="25">
        <f>N18*Assumptions!$C$8</f>
        <v/>
      </c>
      <c r="O19" s="25">
        <f>O18*Assumptions!$C$8</f>
        <v/>
      </c>
      <c r="P19" s="25">
        <f>P18*Assumptions!$C$8</f>
        <v/>
      </c>
      <c r="Q19" s="25">
        <f>AVERAGE(E19:P19)</f>
        <v/>
      </c>
    </row>
    <row r="20">
      <c r="D20" t="inlineStr">
        <is>
          <t>Not Covered Benefit ($)</t>
        </is>
      </c>
      <c r="E20" s="25">
        <f>Assumptions!$C$18</f>
        <v/>
      </c>
      <c r="F20" s="25">
        <f>Assumptions!$C$18</f>
        <v/>
      </c>
      <c r="G20" s="25">
        <f>Assumptions!$C$18</f>
        <v/>
      </c>
      <c r="H20" s="25">
        <f>Assumptions!$C$18</f>
        <v/>
      </c>
      <c r="I20" s="25">
        <f>Assumptions!$C$18</f>
        <v/>
      </c>
      <c r="J20" s="25">
        <f>Assumptions!$C$18</f>
        <v/>
      </c>
      <c r="K20" s="25">
        <f>Assumptions!$C$18</f>
        <v/>
      </c>
      <c r="L20" s="25">
        <f>Assumptions!$C$18</f>
        <v/>
      </c>
      <c r="M20" s="25">
        <f>Assumptions!$C$18</f>
        <v/>
      </c>
      <c r="N20" s="25">
        <f>Assumptions!$C$18</f>
        <v/>
      </c>
      <c r="O20" s="25">
        <f>Assumptions!$C$18</f>
        <v/>
      </c>
      <c r="P20" s="25">
        <f>Assumptions!$C$18</f>
        <v/>
      </c>
      <c r="R20" s="6" t="inlineStr">
        <is>
          <t>Buydown to $35</t>
        </is>
      </c>
    </row>
    <row r="21">
      <c r="D21" t="inlineStr">
        <is>
          <t>Redemption Rate</t>
        </is>
      </c>
      <c r="E21" s="22">
        <f>Assumptions!$C$10</f>
        <v/>
      </c>
      <c r="F21" s="22">
        <f>Assumptions!$C$10</f>
        <v/>
      </c>
      <c r="G21" s="22">
        <f>Assumptions!$C$10</f>
        <v/>
      </c>
      <c r="H21" s="22">
        <f>Assumptions!$C$10</f>
        <v/>
      </c>
      <c r="I21" s="22">
        <f>Assumptions!$C$10</f>
        <v/>
      </c>
      <c r="J21" s="22">
        <f>Assumptions!$C$10</f>
        <v/>
      </c>
      <c r="K21" s="22">
        <f>Assumptions!$C$10</f>
        <v/>
      </c>
      <c r="L21" s="22">
        <f>Assumptions!$C$10</f>
        <v/>
      </c>
      <c r="M21" s="22">
        <f>Assumptions!$C$10</f>
        <v/>
      </c>
      <c r="N21" s="22">
        <f>Assumptions!$C$10</f>
        <v/>
      </c>
      <c r="O21" s="22">
        <f>Assumptions!$C$10</f>
        <v/>
      </c>
      <c r="P21" s="22">
        <f>Assumptions!$C$10</f>
        <v/>
      </c>
    </row>
    <row r="22">
      <c r="D22" t="inlineStr">
        <is>
          <t>WAC Price</t>
        </is>
      </c>
      <c r="E22" s="25">
        <f>Assumptions!$C$8</f>
        <v/>
      </c>
      <c r="F22" s="25">
        <f>Assumptions!$C$8</f>
        <v/>
      </c>
      <c r="G22" s="25">
        <f>Assumptions!$C$8</f>
        <v/>
      </c>
      <c r="H22" s="25">
        <f>Assumptions!$C$8</f>
        <v/>
      </c>
      <c r="I22" s="25">
        <f>Assumptions!$C$8</f>
        <v/>
      </c>
      <c r="J22" s="25">
        <f>Assumptions!$C$8</f>
        <v/>
      </c>
      <c r="K22" s="25">
        <f>Assumptions!$C$8</f>
        <v/>
      </c>
      <c r="L22" s="25">
        <f>Assumptions!$C$8</f>
        <v/>
      </c>
      <c r="M22" s="25">
        <f>Assumptions!$C$8</f>
        <v/>
      </c>
      <c r="N22" s="25">
        <f>Assumptions!$C$8</f>
        <v/>
      </c>
      <c r="O22" s="25">
        <f>Assumptions!$C$8</f>
        <v/>
      </c>
      <c r="P22" s="25">
        <f>Assumptions!$C$8</f>
        <v/>
      </c>
    </row>
    <row r="23">
      <c r="D23" s="27" t="inlineStr">
        <is>
          <t>Covered Program Costs</t>
        </is>
      </c>
      <c r="E23" s="28">
        <f>E4*E21*E19</f>
        <v/>
      </c>
      <c r="F23" s="28">
        <f>F4*F21*F19</f>
        <v/>
      </c>
      <c r="G23" s="28">
        <f>G4*G21*G19</f>
        <v/>
      </c>
      <c r="H23" s="28">
        <f>H4*H21*H19</f>
        <v/>
      </c>
      <c r="I23" s="28">
        <f>I4*I21*I19</f>
        <v/>
      </c>
      <c r="J23" s="28">
        <f>J4*J21*J19</f>
        <v/>
      </c>
      <c r="K23" s="28">
        <f>K4*K21*K19</f>
        <v/>
      </c>
      <c r="L23" s="28">
        <f>L4*L21*L19</f>
        <v/>
      </c>
      <c r="M23" s="28">
        <f>M4*M21*M19</f>
        <v/>
      </c>
      <c r="N23" s="28">
        <f>N4*N21*N19</f>
        <v/>
      </c>
      <c r="O23" s="28">
        <f>O4*O21*O19</f>
        <v/>
      </c>
      <c r="P23" s="28">
        <f>P4*P21*P19</f>
        <v/>
      </c>
      <c r="Q23" s="28">
        <f>SUM(E23:P23)</f>
        <v/>
      </c>
      <c r="R23" s="6" t="inlineStr">
        <is>
          <t>TRx × Redemption × Benefit</t>
        </is>
      </c>
    </row>
    <row r="24">
      <c r="D24" s="27" t="inlineStr">
        <is>
          <t>Not Covered Program Costs</t>
        </is>
      </c>
      <c r="E24" s="28">
        <f>E5*E7*E21*E20</f>
        <v/>
      </c>
      <c r="F24" s="28">
        <f>F5*F7*F21*F20</f>
        <v/>
      </c>
      <c r="G24" s="28">
        <f>G5*G7*G21*G20</f>
        <v/>
      </c>
      <c r="H24" s="28">
        <f>H5*H7*H21*H20</f>
        <v/>
      </c>
      <c r="I24" s="28">
        <f>I5*I7*I21*I20</f>
        <v/>
      </c>
      <c r="J24" s="28">
        <f>J5*J7*J21*J20</f>
        <v/>
      </c>
      <c r="K24" s="28">
        <f>K5*K7*K21*K20</f>
        <v/>
      </c>
      <c r="L24" s="28">
        <f>L5*L7*L21*L20</f>
        <v/>
      </c>
      <c r="M24" s="28">
        <f>M5*M7*M21*M20</f>
        <v/>
      </c>
      <c r="N24" s="28">
        <f>N5*N7*N21*N20</f>
        <v/>
      </c>
      <c r="O24" s="28">
        <f>O5*O7*O21*O20</f>
        <v/>
      </c>
      <c r="P24" s="28">
        <f>P5*P7*P21*P20</f>
        <v/>
      </c>
      <c r="Q24" s="28">
        <f>SUM(E24:P24)</f>
        <v/>
      </c>
    </row>
    <row r="25">
      <c r="D25" s="3" t="inlineStr">
        <is>
          <t>TOTAL PROGRAM COSTS</t>
        </is>
      </c>
      <c r="E25" s="29">
        <f>E23+E24</f>
        <v/>
      </c>
      <c r="F25" s="29">
        <f>F23+F24</f>
        <v/>
      </c>
      <c r="G25" s="29">
        <f>G23+G24</f>
        <v/>
      </c>
      <c r="H25" s="29">
        <f>H23+H24</f>
        <v/>
      </c>
      <c r="I25" s="29">
        <f>I23+I24</f>
        <v/>
      </c>
      <c r="J25" s="29">
        <f>J23+J24</f>
        <v/>
      </c>
      <c r="K25" s="29">
        <f>K23+K24</f>
        <v/>
      </c>
      <c r="L25" s="29">
        <f>L23+L24</f>
        <v/>
      </c>
      <c r="M25" s="29">
        <f>M23+M24</f>
        <v/>
      </c>
      <c r="N25" s="29">
        <f>N23+N24</f>
        <v/>
      </c>
      <c r="O25" s="29">
        <f>O23+O24</f>
        <v/>
      </c>
      <c r="P25" s="29">
        <f>P23+P24</f>
        <v/>
      </c>
      <c r="Q25" s="29">
        <f>SUM(E25:P25)</f>
        <v/>
      </c>
    </row>
    <row r="26">
      <c r="D26" s="4" t="inlineStr">
        <is>
          <t>Gross Demand Sales</t>
        </is>
      </c>
      <c r="E26" s="25">
        <f>(E4+E5)*E22</f>
        <v/>
      </c>
      <c r="F26" s="25">
        <f>(F4+F5)*F22</f>
        <v/>
      </c>
      <c r="G26" s="25">
        <f>(G4+G5)*G22</f>
        <v/>
      </c>
      <c r="H26" s="25">
        <f>(H4+H5)*H22</f>
        <v/>
      </c>
      <c r="I26" s="25">
        <f>(I4+I5)*I22</f>
        <v/>
      </c>
      <c r="J26" s="25">
        <f>(J4+J5)*J22</f>
        <v/>
      </c>
      <c r="K26" s="25">
        <f>(K4+K5)*K22</f>
        <v/>
      </c>
      <c r="L26" s="25">
        <f>(L4+L5)*L22</f>
        <v/>
      </c>
      <c r="M26" s="25">
        <f>(M4+M5)*M22</f>
        <v/>
      </c>
      <c r="N26" s="25">
        <f>(N4+N5)*N22</f>
        <v/>
      </c>
      <c r="O26" s="25">
        <f>(O4+O5)*O22</f>
        <v/>
      </c>
      <c r="P26" s="25">
        <f>(P4+P5)*P22</f>
        <v/>
      </c>
      <c r="Q26" s="25">
        <f>SUM(E26:P26)</f>
        <v/>
      </c>
    </row>
    <row r="27">
      <c r="D27" s="9" t="inlineStr">
        <is>
          <t>GTN % (Copay/Denial)</t>
        </is>
      </c>
      <c r="E27" s="30">
        <f>IFERROR(E25/E26,0)</f>
        <v/>
      </c>
      <c r="F27" s="30">
        <f>IFERROR(F25/F26,0)</f>
        <v/>
      </c>
      <c r="G27" s="30">
        <f>IFERROR(G25/G26,0)</f>
        <v/>
      </c>
      <c r="H27" s="30">
        <f>IFERROR(H25/H26,0)</f>
        <v/>
      </c>
      <c r="I27" s="30">
        <f>IFERROR(I25/I26,0)</f>
        <v/>
      </c>
      <c r="J27" s="30">
        <f>IFERROR(J25/J26,0)</f>
        <v/>
      </c>
      <c r="K27" s="30">
        <f>IFERROR(K25/K26,0)</f>
        <v/>
      </c>
      <c r="L27" s="30">
        <f>IFERROR(L25/L26,0)</f>
        <v/>
      </c>
      <c r="M27" s="30">
        <f>IFERROR(M25/M26,0)</f>
        <v/>
      </c>
      <c r="N27" s="30">
        <f>IFERROR(N25/N26,0)</f>
        <v/>
      </c>
      <c r="O27" s="30">
        <f>IFERROR(O25/O26,0)</f>
        <v/>
      </c>
      <c r="P27" s="30">
        <f>IFERROR(P25/P26,0)</f>
        <v/>
      </c>
      <c r="Q27" s="30">
        <f>IFERROR(Q25/Q26,0)</f>
        <v/>
      </c>
      <c r="R27" s="31" t="inlineStr">
        <is>
          <t>KEY OUTPUT</t>
        </is>
      </c>
    </row>
    <row r="28">
      <c r="D28" s="4" t="inlineStr">
        <is>
          <t>Net Sales (After GTN)</t>
        </is>
      </c>
      <c r="E28" s="25">
        <f>E26-E25</f>
        <v/>
      </c>
      <c r="F28" s="25">
        <f>F26-F25</f>
        <v/>
      </c>
      <c r="G28" s="25">
        <f>G26-G25</f>
        <v/>
      </c>
      <c r="H28" s="25">
        <f>H26-H25</f>
        <v/>
      </c>
      <c r="I28" s="25">
        <f>I26-I25</f>
        <v/>
      </c>
      <c r="J28" s="25">
        <f>J26-J25</f>
        <v/>
      </c>
      <c r="K28" s="25">
        <f>K26-K25</f>
        <v/>
      </c>
      <c r="L28" s="25">
        <f>L26-L25</f>
        <v/>
      </c>
      <c r="M28" s="25">
        <f>M26-M25</f>
        <v/>
      </c>
      <c r="N28" s="25">
        <f>N26-N25</f>
        <v/>
      </c>
      <c r="O28" s="25">
        <f>O26-O25</f>
        <v/>
      </c>
      <c r="P28" s="25">
        <f>P26-P25</f>
        <v/>
      </c>
      <c r="Q28" s="25">
        <f>SUM(E28:P28)</f>
        <v/>
      </c>
    </row>
  </sheetData>
  <mergeCells count="1">
    <mergeCell ref="E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4">
      <c r="A4" s="1" t="inlineStr">
        <is>
          <t>VISUAL DASHBOARD</t>
        </is>
      </c>
    </row>
    <row r="6">
      <c r="A6" s="4" t="inlineStr">
        <is>
          <t>Chart Data (Hidden in production)</t>
        </is>
      </c>
    </row>
    <row r="7">
      <c r="A7" s="32" t="inlineStr">
        <is>
          <t>Month</t>
        </is>
      </c>
      <c r="B7" s="32" t="inlineStr">
        <is>
          <t>GTN %</t>
        </is>
      </c>
      <c r="C7" s="32" t="inlineStr">
        <is>
          <t>Coverage %</t>
        </is>
      </c>
      <c r="D7" s="32" t="inlineStr">
        <is>
          <t>Covered Cost</t>
        </is>
      </c>
      <c r="E7" s="32" t="inlineStr">
        <is>
          <t>Not Covered Cost</t>
        </is>
      </c>
      <c r="F7" s="32" t="inlineStr">
        <is>
          <t>Total Cost</t>
        </is>
      </c>
    </row>
    <row r="8">
      <c r="A8" t="inlineStr">
        <is>
          <t>Jan</t>
        </is>
      </c>
      <c r="B8" s="26">
        <f>Model!E27</f>
        <v/>
      </c>
      <c r="C8" s="22">
        <f>Model!E6</f>
        <v/>
      </c>
      <c r="D8" s="25">
        <f>Model!E23</f>
        <v/>
      </c>
      <c r="E8" s="25">
        <f>Model!E24</f>
        <v/>
      </c>
      <c r="F8" s="25">
        <f>Model!E25</f>
        <v/>
      </c>
    </row>
    <row r="9">
      <c r="A9" t="inlineStr">
        <is>
          <t>Feb</t>
        </is>
      </c>
      <c r="B9" s="26">
        <f>Model!F27</f>
        <v/>
      </c>
      <c r="C9" s="22">
        <f>Model!F6</f>
        <v/>
      </c>
      <c r="D9" s="25">
        <f>Model!F23</f>
        <v/>
      </c>
      <c r="E9" s="25">
        <f>Model!F24</f>
        <v/>
      </c>
      <c r="F9" s="25">
        <f>Model!F25</f>
        <v/>
      </c>
    </row>
    <row r="10">
      <c r="A10" t="inlineStr">
        <is>
          <t>Mar</t>
        </is>
      </c>
      <c r="B10" s="26">
        <f>Model!G27</f>
        <v/>
      </c>
      <c r="C10" s="22">
        <f>Model!G6</f>
        <v/>
      </c>
      <c r="D10" s="25">
        <f>Model!G23</f>
        <v/>
      </c>
      <c r="E10" s="25">
        <f>Model!G24</f>
        <v/>
      </c>
      <c r="F10" s="25">
        <f>Model!G25</f>
        <v/>
      </c>
    </row>
    <row r="11">
      <c r="A11" t="inlineStr">
        <is>
          <t>Apr</t>
        </is>
      </c>
      <c r="B11" s="26">
        <f>Model!H27</f>
        <v/>
      </c>
      <c r="C11" s="22">
        <f>Model!H6</f>
        <v/>
      </c>
      <c r="D11" s="25">
        <f>Model!H23</f>
        <v/>
      </c>
      <c r="E11" s="25">
        <f>Model!H24</f>
        <v/>
      </c>
      <c r="F11" s="25">
        <f>Model!H25</f>
        <v/>
      </c>
    </row>
    <row r="12">
      <c r="A12" t="inlineStr">
        <is>
          <t>May</t>
        </is>
      </c>
      <c r="B12" s="26">
        <f>Model!I27</f>
        <v/>
      </c>
      <c r="C12" s="22">
        <f>Model!I6</f>
        <v/>
      </c>
      <c r="D12" s="25">
        <f>Model!I23</f>
        <v/>
      </c>
      <c r="E12" s="25">
        <f>Model!I24</f>
        <v/>
      </c>
      <c r="F12" s="25">
        <f>Model!I25</f>
        <v/>
      </c>
    </row>
    <row r="13">
      <c r="A13" t="inlineStr">
        <is>
          <t>Jun</t>
        </is>
      </c>
      <c r="B13" s="26">
        <f>Model!J27</f>
        <v/>
      </c>
      <c r="C13" s="22">
        <f>Model!J6</f>
        <v/>
      </c>
      <c r="D13" s="25">
        <f>Model!J23</f>
        <v/>
      </c>
      <c r="E13" s="25">
        <f>Model!J24</f>
        <v/>
      </c>
      <c r="F13" s="25">
        <f>Model!J25</f>
        <v/>
      </c>
    </row>
    <row r="14">
      <c r="A14" t="inlineStr">
        <is>
          <t>Jul</t>
        </is>
      </c>
      <c r="B14" s="26">
        <f>Model!K27</f>
        <v/>
      </c>
      <c r="C14" s="22">
        <f>Model!K6</f>
        <v/>
      </c>
      <c r="D14" s="25">
        <f>Model!K23</f>
        <v/>
      </c>
      <c r="E14" s="25">
        <f>Model!K24</f>
        <v/>
      </c>
      <c r="F14" s="25">
        <f>Model!K25</f>
        <v/>
      </c>
    </row>
    <row r="15">
      <c r="A15" t="inlineStr">
        <is>
          <t>Aug</t>
        </is>
      </c>
      <c r="B15" s="26">
        <f>Model!L27</f>
        <v/>
      </c>
      <c r="C15" s="22">
        <f>Model!L6</f>
        <v/>
      </c>
      <c r="D15" s="25">
        <f>Model!L23</f>
        <v/>
      </c>
      <c r="E15" s="25">
        <f>Model!L24</f>
        <v/>
      </c>
      <c r="F15" s="25">
        <f>Model!L25</f>
        <v/>
      </c>
    </row>
    <row r="16">
      <c r="A16" t="inlineStr">
        <is>
          <t>Sep</t>
        </is>
      </c>
      <c r="B16" s="26">
        <f>Model!M27</f>
        <v/>
      </c>
      <c r="C16" s="22">
        <f>Model!M6</f>
        <v/>
      </c>
      <c r="D16" s="25">
        <f>Model!M23</f>
        <v/>
      </c>
      <c r="E16" s="25">
        <f>Model!M24</f>
        <v/>
      </c>
      <c r="F16" s="25">
        <f>Model!M25</f>
        <v/>
      </c>
    </row>
    <row r="17">
      <c r="A17" t="inlineStr">
        <is>
          <t>Oct</t>
        </is>
      </c>
      <c r="B17" s="26">
        <f>Model!N27</f>
        <v/>
      </c>
      <c r="C17" s="22">
        <f>Model!N6</f>
        <v/>
      </c>
      <c r="D17" s="25">
        <f>Model!N23</f>
        <v/>
      </c>
      <c r="E17" s="25">
        <f>Model!N24</f>
        <v/>
      </c>
      <c r="F17" s="25">
        <f>Model!N25</f>
        <v/>
      </c>
    </row>
    <row r="18">
      <c r="A18" t="inlineStr">
        <is>
          <t>Nov</t>
        </is>
      </c>
      <c r="B18" s="26">
        <f>Model!O27</f>
        <v/>
      </c>
      <c r="C18" s="22">
        <f>Model!O6</f>
        <v/>
      </c>
      <c r="D18" s="25">
        <f>Model!O23</f>
        <v/>
      </c>
      <c r="E18" s="25">
        <f>Model!O24</f>
        <v/>
      </c>
      <c r="F18" s="25">
        <f>Model!O25</f>
        <v/>
      </c>
    </row>
    <row r="19">
      <c r="A19" t="inlineStr">
        <is>
          <t>Dec</t>
        </is>
      </c>
      <c r="B19" s="26">
        <f>Model!P27</f>
        <v/>
      </c>
      <c r="C19" s="22">
        <f>Model!P6</f>
        <v/>
      </c>
      <c r="D19" s="25">
        <f>Model!P23</f>
        <v/>
      </c>
      <c r="E19" s="25">
        <f>Model!P24</f>
        <v/>
      </c>
      <c r="F19" s="25">
        <f>Model!P25</f>
        <v/>
      </c>
    </row>
    <row r="22">
      <c r="A22" s="3" t="inlineStr">
        <is>
          <t>KEY INSIGHTS</t>
        </is>
      </c>
    </row>
    <row r="23">
      <c r="A23" s="11" t="inlineStr">
        <is>
          <t>Annual GTN %:</t>
        </is>
      </c>
      <c r="C23" s="33">
        <f>Model!Q27</f>
        <v/>
      </c>
    </row>
    <row r="24">
      <c r="A24" s="11" t="inlineStr">
        <is>
          <t>Total Program Costs:</t>
        </is>
      </c>
      <c r="C24" s="34">
        <f>Model!Q25</f>
        <v/>
      </c>
    </row>
    <row r="25">
      <c r="A25" s="11" t="inlineStr">
        <is>
          <t>Covered Costs:</t>
        </is>
      </c>
      <c r="C25" s="34">
        <f>Model!Q23</f>
        <v/>
      </c>
    </row>
    <row r="26">
      <c r="A26" s="11" t="inlineStr">
        <is>
          <t>Not Covered Costs:</t>
        </is>
      </c>
      <c r="C26" s="34">
        <f>Model!Q24</f>
        <v/>
      </c>
    </row>
    <row r="27">
      <c r="A27" s="4" t="inlineStr">
        <is>
          <t>Avg Coverage:</t>
        </is>
      </c>
      <c r="C27" s="35">
        <f>AVERAGE(Model!E6:P6)</f>
        <v/>
      </c>
    </row>
    <row r="28">
      <c r="A28" s="11" t="inlineStr"/>
    </row>
    <row r="29">
      <c r="A29" s="4" t="inlineStr">
        <is>
          <t>Coverage Impact:</t>
        </is>
      </c>
    </row>
    <row r="30">
      <c r="A30" s="4" t="inlineStr">
        <is>
          <t>If coverage +10%:</t>
        </is>
      </c>
      <c r="C30" s="33">
        <f>Model!Q27*(1-0.08)</f>
        <v/>
      </c>
    </row>
    <row r="31">
      <c r="A31" s="4" t="inlineStr">
        <is>
          <t>If coverage -10%:</t>
        </is>
      </c>
      <c r="C31" s="33">
        <f>Model!Q27*(1+0.08)</f>
        <v/>
      </c>
    </row>
  </sheetData>
  <mergeCells count="11">
    <mergeCell ref="A4:H4"/>
    <mergeCell ref="A26:B26"/>
    <mergeCell ref="A24:B24"/>
    <mergeCell ref="A30:B30"/>
    <mergeCell ref="A29:B29"/>
    <mergeCell ref="A25:B25"/>
    <mergeCell ref="A28:B28"/>
    <mergeCell ref="A22:F22"/>
    <mergeCell ref="A23:B23"/>
    <mergeCell ref="A27:B27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4">
      <c r="A4" s="1" t="inlineStr">
        <is>
          <t>SCENARIO COMPARISON</t>
        </is>
      </c>
    </row>
    <row r="5">
      <c r="A5" s="36" t="inlineStr">
        <is>
          <t>Toggle assumptions to see instant GTN impact</t>
        </is>
      </c>
    </row>
    <row r="7">
      <c r="A7" s="3" t="inlineStr">
        <is>
          <t>SCENARIO INPUTS</t>
        </is>
      </c>
      <c r="C7" s="16" t="inlineStr">
        <is>
          <t>Current Model</t>
        </is>
      </c>
      <c r="D7" s="16" t="inlineStr">
        <is>
          <t>Low Coverage</t>
        </is>
      </c>
      <c r="E7" s="16" t="inlineStr">
        <is>
          <t>High Coverage</t>
        </is>
      </c>
      <c r="F7" s="16" t="inlineStr">
        <is>
          <t>High Exceptions</t>
        </is>
      </c>
    </row>
    <row r="8">
      <c r="A8" s="4" t="inlineStr">
        <is>
          <t>Avg Coverage Uptake</t>
        </is>
      </c>
      <c r="C8" s="22">
        <f>AVERAGE(Assumptions!C22:C33)</f>
        <v/>
      </c>
      <c r="D8" s="37" t="n">
        <v>0.2</v>
      </c>
      <c r="E8" s="37" t="n">
        <v>0.7</v>
      </c>
      <c r="F8" s="22">
        <f>C8</f>
        <v/>
      </c>
    </row>
    <row r="9">
      <c r="A9" s="4" t="inlineStr">
        <is>
          <t>Medical Exception Rate</t>
        </is>
      </c>
      <c r="C9" s="22">
        <f>Assumptions!C11</f>
        <v/>
      </c>
      <c r="D9" s="22">
        <f>C9</f>
        <v/>
      </c>
      <c r="E9" s="22">
        <f>C9</f>
        <v/>
      </c>
      <c r="F9" s="37" t="n">
        <v>0.15</v>
      </c>
    </row>
    <row r="10">
      <c r="A10" s="4" t="inlineStr">
        <is>
          <t>Redemption Rate</t>
        </is>
      </c>
      <c r="C10" s="22">
        <f>Assumptions!C10</f>
        <v/>
      </c>
      <c r="D10" s="22">
        <f>C10</f>
        <v/>
      </c>
      <c r="E10" s="22">
        <f>C10</f>
        <v/>
      </c>
      <c r="F10" s="22">
        <f>C10</f>
        <v/>
      </c>
    </row>
    <row r="11">
      <c r="A11" s="4" t="inlineStr">
        <is>
          <t>Pay No More Than</t>
        </is>
      </c>
      <c r="C11" s="25">
        <f>Assumptions!C9</f>
        <v/>
      </c>
      <c r="D11" s="25">
        <f>C11</f>
        <v/>
      </c>
      <c r="E11" s="25">
        <f>C11</f>
        <v/>
      </c>
      <c r="F11" s="25">
        <f>C11</f>
        <v/>
      </c>
    </row>
    <row r="13">
      <c r="A13" s="9" t="inlineStr">
        <is>
          <t>SCENARIO OUTPUTS</t>
        </is>
      </c>
      <c r="C13" s="38" t="inlineStr">
        <is>
          <t>Current Model</t>
        </is>
      </c>
      <c r="D13" s="38" t="inlineStr">
        <is>
          <t>Low Coverage</t>
        </is>
      </c>
      <c r="E13" s="38" t="inlineStr">
        <is>
          <t>High Coverage</t>
        </is>
      </c>
      <c r="F13" s="38" t="inlineStr">
        <is>
          <t>High Exceptions</t>
        </is>
      </c>
    </row>
    <row r="14">
      <c r="A14" s="4" t="inlineStr">
        <is>
          <t>Estimated Annual GTN %</t>
        </is>
      </c>
      <c r="C14" s="39">
        <f>Model!Q27</f>
        <v/>
      </c>
      <c r="D14" s="39">
        <f>C14*(1+(C8-D8)*1.5)</f>
        <v/>
      </c>
      <c r="E14" s="39">
        <f>C14*(1-(E8-C8)*1.2)</f>
        <v/>
      </c>
      <c r="F14" s="39">
        <f>C14*(1-F9*0.5)</f>
        <v/>
      </c>
    </row>
    <row r="15">
      <c r="A15" s="11" t="inlineStr">
        <is>
          <t>vs Current Model</t>
        </is>
      </c>
      <c r="C15" t="inlineStr">
        <is>
          <t>-</t>
        </is>
      </c>
      <c r="D15" s="40">
        <f>D14-C14</f>
        <v/>
      </c>
      <c r="E15" s="40">
        <f>E14-C14</f>
        <v/>
      </c>
      <c r="F15" s="40">
        <f>F14-C14</f>
        <v/>
      </c>
    </row>
    <row r="16">
      <c r="A16" s="4" t="inlineStr">
        <is>
          <t>Est. Program Cost Impact</t>
        </is>
      </c>
      <c r="C16" s="25">
        <f>Model!Q25</f>
        <v/>
      </c>
      <c r="D16" s="25">
        <f>C16*(1+(C8-D8)*1.5)</f>
        <v/>
      </c>
      <c r="E16" s="25">
        <f>C16*(1-(E8-C8)*1.2)</f>
        <v/>
      </c>
      <c r="F16" s="25">
        <f>C16*(1-F9*0.5)</f>
        <v/>
      </c>
    </row>
    <row r="17">
      <c r="A17" s="11" t="inlineStr">
        <is>
          <t>$ Change vs Current</t>
        </is>
      </c>
      <c r="C17" t="inlineStr">
        <is>
          <t>-</t>
        </is>
      </c>
      <c r="D17" s="41">
        <f>D16-C16</f>
        <v/>
      </c>
      <c r="E17" s="41">
        <f>E16-C16</f>
        <v/>
      </c>
      <c r="F17" s="41">
        <f>F16-C16</f>
        <v/>
      </c>
    </row>
    <row r="20">
      <c r="A20" s="32" t="inlineStr">
        <is>
          <t>Scenario</t>
        </is>
      </c>
      <c r="B20" s="32" t="inlineStr">
        <is>
          <t>GTN %</t>
        </is>
      </c>
    </row>
    <row r="21">
      <c r="A21" t="inlineStr">
        <is>
          <t>Current Model</t>
        </is>
      </c>
      <c r="B21" s="26">
        <f>C14</f>
        <v/>
      </c>
    </row>
    <row r="22">
      <c r="A22" t="inlineStr">
        <is>
          <t>Low Coverage</t>
        </is>
      </c>
      <c r="B22" s="26">
        <f>D14</f>
        <v/>
      </c>
    </row>
    <row r="23">
      <c r="A23" t="inlineStr">
        <is>
          <t>High Coverage</t>
        </is>
      </c>
      <c r="B23" s="26">
        <f>E14</f>
        <v/>
      </c>
    </row>
    <row r="24">
      <c r="A24" t="inlineStr">
        <is>
          <t>High Exceptions</t>
        </is>
      </c>
      <c r="B24" s="26">
        <f>F14</f>
        <v/>
      </c>
    </row>
    <row r="27">
      <c r="A27" s="14" t="inlineStr">
        <is>
          <t>HOW TO USE SCENARIOS</t>
        </is>
      </c>
    </row>
    <row r="28">
      <c r="A28" s="11" t="inlineStr">
        <is>
          <t>1. Current Model reflects your actual Assumptions tab settings</t>
        </is>
      </c>
    </row>
    <row r="29">
      <c r="A29" s="11" t="inlineStr">
        <is>
          <t>2. Edit the PURPLE cells (D8, E8, F9) to test different scenarios</t>
        </is>
      </c>
    </row>
    <row r="30">
      <c r="A30" s="11" t="inlineStr">
        <is>
          <t>3. Watch how GTN % and Program Costs change immediately</t>
        </is>
      </c>
    </row>
    <row r="31">
      <c r="A31" s="11" t="inlineStr">
        <is>
          <t>4. Low Coverage = More patients go through expensive Not Covered path</t>
        </is>
      </c>
    </row>
    <row r="32">
      <c r="A32" s="11" t="inlineStr">
        <is>
          <t>5. High Coverage = More patients have formulary access = lower buydown</t>
        </is>
      </c>
    </row>
    <row r="33">
      <c r="A33" s="11" t="inlineStr">
        <is>
          <t>6. High Exceptions = Medical exceptions approved = treated as covered</t>
        </is>
      </c>
    </row>
  </sheetData>
  <mergeCells count="18">
    <mergeCell ref="A33:F33"/>
    <mergeCell ref="A16:B16"/>
    <mergeCell ref="A28:F28"/>
    <mergeCell ref="A15:B15"/>
    <mergeCell ref="A7:B7"/>
    <mergeCell ref="A11:B11"/>
    <mergeCell ref="A10:B10"/>
    <mergeCell ref="A4:G4"/>
    <mergeCell ref="A27:F27"/>
    <mergeCell ref="A31:F31"/>
    <mergeCell ref="A13:B13"/>
    <mergeCell ref="A14:B14"/>
    <mergeCell ref="A32:F32"/>
    <mergeCell ref="A17:B17"/>
    <mergeCell ref="A9:B9"/>
    <mergeCell ref="A30:F30"/>
    <mergeCell ref="A8:B8"/>
    <mergeCell ref="A29:F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G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0" customWidth="1" min="5" max="5"/>
  </cols>
  <sheetData>
    <row r="4">
      <c r="A4" s="1" t="inlineStr">
        <is>
          <t>SENSITIVITY ANALYSIS</t>
        </is>
      </c>
    </row>
    <row r="5">
      <c r="A5" s="36" t="inlineStr">
        <is>
          <t>How does GTN change when key assumptions shift?</t>
        </is>
      </c>
    </row>
    <row r="7">
      <c r="A7" s="3" t="inlineStr">
        <is>
          <t>CURRENT MODEL BASELINE</t>
        </is>
      </c>
    </row>
    <row r="8">
      <c r="A8" t="inlineStr">
        <is>
          <t>Annual GTN %</t>
        </is>
      </c>
      <c r="B8" s="42">
        <f>Model!Q27</f>
        <v/>
      </c>
    </row>
    <row r="9">
      <c r="A9" t="inlineStr">
        <is>
          <t>Avg Coverage Uptake</t>
        </is>
      </c>
      <c r="B9" s="22">
        <f>AVERAGE(Assumptions!C22:C33)</f>
        <v/>
      </c>
    </row>
    <row r="10">
      <c r="A10" t="inlineStr">
        <is>
          <t>Medical Exception Rate</t>
        </is>
      </c>
      <c r="B10" s="22">
        <f>Assumptions!C11</f>
        <v/>
      </c>
    </row>
    <row r="11">
      <c r="A11" t="inlineStr">
        <is>
          <t>Redemption Rate</t>
        </is>
      </c>
      <c r="B11" s="22">
        <f>Assumptions!C10</f>
        <v/>
      </c>
    </row>
    <row r="14">
      <c r="A14" s="9" t="inlineStr">
        <is>
          <t>COVERAGE UPTAKE IMPACT</t>
        </is>
      </c>
    </row>
    <row r="15">
      <c r="A15" s="32" t="inlineStr">
        <is>
          <t>Coverage %</t>
        </is>
      </c>
      <c r="B15" s="32" t="inlineStr">
        <is>
          <t>Est. GTN %</t>
        </is>
      </c>
      <c r="C15" s="32" t="inlineStr">
        <is>
          <t>Change</t>
        </is>
      </c>
      <c r="D15" s="32" t="inlineStr">
        <is>
          <t>$ Impact</t>
        </is>
      </c>
      <c r="E15" s="32" t="inlineStr">
        <is>
          <t>Visual</t>
        </is>
      </c>
    </row>
    <row r="16">
      <c r="A16" s="43" t="n">
        <v>0.1</v>
      </c>
      <c r="B16" s="26">
        <f>$B$8*(1+($B$9-A16)*1.5)</f>
        <v/>
      </c>
      <c r="C16" s="40">
        <f>B16-$B$8</f>
        <v/>
      </c>
      <c r="D16" s="25">
        <f>C16*Model!Q26</f>
        <v/>
      </c>
      <c r="E16" s="44">
        <f>REPT("▼",MAX(0,ROUND(-C16*100,0)))&amp;REPT("▲",MAX(0,ROUND(C16*100,0)))</f>
        <v/>
      </c>
    </row>
    <row r="17">
      <c r="A17" s="43" t="n">
        <v>0.2</v>
      </c>
      <c r="B17" s="26">
        <f>$B$8*(1+($B$9-A17)*1.5)</f>
        <v/>
      </c>
      <c r="C17" s="40">
        <f>B17-$B$8</f>
        <v/>
      </c>
      <c r="D17" s="25">
        <f>C17*Model!Q26</f>
        <v/>
      </c>
      <c r="E17" s="44">
        <f>REPT("▼",MAX(0,ROUND(-C17*100,0)))&amp;REPT("▲",MAX(0,ROUND(C17*100,0)))</f>
        <v/>
      </c>
    </row>
    <row r="18">
      <c r="A18" s="43" t="n">
        <v>0.3</v>
      </c>
      <c r="B18" s="26">
        <f>$B$8*(1+($B$9-A18)*1.5)</f>
        <v/>
      </c>
      <c r="C18" s="40">
        <f>B18-$B$8</f>
        <v/>
      </c>
      <c r="D18" s="25">
        <f>C18*Model!Q26</f>
        <v/>
      </c>
      <c r="E18" s="44">
        <f>REPT("▼",MAX(0,ROUND(-C18*100,0)))&amp;REPT("▲",MAX(0,ROUND(C18*100,0)))</f>
        <v/>
      </c>
    </row>
    <row r="19">
      <c r="A19" s="43" t="n">
        <v>0.4</v>
      </c>
      <c r="B19" s="26">
        <f>$B$8*(1+($B$9-A19)*1.5)</f>
        <v/>
      </c>
      <c r="C19" s="40">
        <f>B19-$B$8</f>
        <v/>
      </c>
      <c r="D19" s="25">
        <f>C19*Model!Q26</f>
        <v/>
      </c>
      <c r="E19" s="44">
        <f>REPT("▼",MAX(0,ROUND(-C19*100,0)))&amp;REPT("▲",MAX(0,ROUND(C19*100,0)))</f>
        <v/>
      </c>
    </row>
    <row r="20">
      <c r="A20" s="43" t="n">
        <v>0.5</v>
      </c>
      <c r="B20" s="26">
        <f>$B$8*(1+($B$9-A20)*1.5)</f>
        <v/>
      </c>
      <c r="C20" s="40">
        <f>B20-$B$8</f>
        <v/>
      </c>
      <c r="D20" s="25">
        <f>C20*Model!Q26</f>
        <v/>
      </c>
      <c r="E20" s="44">
        <f>REPT("▼",MAX(0,ROUND(-C20*100,0)))&amp;REPT("▲",MAX(0,ROUND(C20*100,0)))</f>
        <v/>
      </c>
    </row>
    <row r="21">
      <c r="A21" s="43" t="n">
        <v>0.6</v>
      </c>
      <c r="B21" s="26">
        <f>$B$8*(1+($B$9-A21)*1.5)</f>
        <v/>
      </c>
      <c r="C21" s="40">
        <f>B21-$B$8</f>
        <v/>
      </c>
      <c r="D21" s="25">
        <f>C21*Model!Q26</f>
        <v/>
      </c>
      <c r="E21" s="44">
        <f>REPT("▼",MAX(0,ROUND(-C21*100,0)))&amp;REPT("▲",MAX(0,ROUND(C21*100,0)))</f>
        <v/>
      </c>
    </row>
    <row r="22">
      <c r="A22" s="43" t="n">
        <v>0.7</v>
      </c>
      <c r="B22" s="26">
        <f>$B$8*(1+($B$9-A22)*1.5)</f>
        <v/>
      </c>
      <c r="C22" s="40">
        <f>B22-$B$8</f>
        <v/>
      </c>
      <c r="D22" s="25">
        <f>C22*Model!Q26</f>
        <v/>
      </c>
      <c r="E22" s="44">
        <f>REPT("▼",MAX(0,ROUND(-C22*100,0)))&amp;REPT("▲",MAX(0,ROUND(C22*100,0)))</f>
        <v/>
      </c>
    </row>
    <row r="23">
      <c r="A23" s="43" t="n">
        <v>0.8</v>
      </c>
      <c r="B23" s="26">
        <f>$B$8*(1+($B$9-A23)*1.5)</f>
        <v/>
      </c>
      <c r="C23" s="40">
        <f>B23-$B$8</f>
        <v/>
      </c>
      <c r="D23" s="25">
        <f>C23*Model!Q26</f>
        <v/>
      </c>
      <c r="E23" s="44">
        <f>REPT("▼",MAX(0,ROUND(-C23*100,0)))&amp;REPT("▲",MAX(0,ROUND(C23*100,0)))</f>
        <v/>
      </c>
    </row>
    <row r="26">
      <c r="A26" s="14" t="inlineStr">
        <is>
          <t>MEDICAL EXCEPTION IMPACT</t>
        </is>
      </c>
    </row>
    <row r="27">
      <c r="A27" s="32" t="inlineStr">
        <is>
          <t>Exception %</t>
        </is>
      </c>
      <c r="B27" s="32" t="inlineStr">
        <is>
          <t>Est. GTN %</t>
        </is>
      </c>
      <c r="C27" s="32" t="inlineStr">
        <is>
          <t>Change</t>
        </is>
      </c>
      <c r="D27" s="32" t="inlineStr">
        <is>
          <t>$ Impact</t>
        </is>
      </c>
      <c r="E27" s="32" t="inlineStr">
        <is>
          <t>Visual</t>
        </is>
      </c>
    </row>
    <row r="28">
      <c r="A28" s="43" t="n">
        <v>0</v>
      </c>
      <c r="B28" s="26">
        <f>$B$8*(1-A28*0.5)</f>
        <v/>
      </c>
      <c r="C28" s="40">
        <f>B28-$B$8</f>
        <v/>
      </c>
      <c r="D28" s="25">
        <f>C28*Model!Q26</f>
        <v/>
      </c>
      <c r="E28" s="44">
        <f>REPT("▼",MAX(0,ROUND(-C28*100,0)))&amp;REPT("▲",MAX(0,ROUND(C28*100,0)))</f>
        <v/>
      </c>
    </row>
    <row r="29">
      <c r="A29" s="43" t="n">
        <v>0.05</v>
      </c>
      <c r="B29" s="26">
        <f>$B$8*(1-A29*0.5)</f>
        <v/>
      </c>
      <c r="C29" s="40">
        <f>B29-$B$8</f>
        <v/>
      </c>
      <c r="D29" s="25">
        <f>C29*Model!Q26</f>
        <v/>
      </c>
      <c r="E29" s="44">
        <f>REPT("▼",MAX(0,ROUND(-C29*100,0)))&amp;REPT("▲",MAX(0,ROUND(C29*100,0)))</f>
        <v/>
      </c>
    </row>
    <row r="30">
      <c r="A30" s="43" t="n">
        <v>0.1</v>
      </c>
      <c r="B30" s="26">
        <f>$B$8*(1-A30*0.5)</f>
        <v/>
      </c>
      <c r="C30" s="40">
        <f>B30-$B$8</f>
        <v/>
      </c>
      <c r="D30" s="25">
        <f>C30*Model!Q26</f>
        <v/>
      </c>
      <c r="E30" s="44">
        <f>REPT("▼",MAX(0,ROUND(-C30*100,0)))&amp;REPT("▲",MAX(0,ROUND(C30*100,0)))</f>
        <v/>
      </c>
    </row>
    <row r="31">
      <c r="A31" s="43" t="n">
        <v>0.15</v>
      </c>
      <c r="B31" s="26">
        <f>$B$8*(1-A31*0.5)</f>
        <v/>
      </c>
      <c r="C31" s="40">
        <f>B31-$B$8</f>
        <v/>
      </c>
      <c r="D31" s="25">
        <f>C31*Model!Q26</f>
        <v/>
      </c>
      <c r="E31" s="44">
        <f>REPT("▼",MAX(0,ROUND(-C31*100,0)))&amp;REPT("▲",MAX(0,ROUND(C31*100,0)))</f>
        <v/>
      </c>
    </row>
    <row r="32">
      <c r="A32" s="43" t="n">
        <v>0.2</v>
      </c>
      <c r="B32" s="26">
        <f>$B$8*(1-A32*0.5)</f>
        <v/>
      </c>
      <c r="C32" s="40">
        <f>B32-$B$8</f>
        <v/>
      </c>
      <c r="D32" s="25">
        <f>C32*Model!Q26</f>
        <v/>
      </c>
      <c r="E32" s="44">
        <f>REPT("▼",MAX(0,ROUND(-C32*100,0)))&amp;REPT("▲",MAX(0,ROUND(C32*100,0)))</f>
        <v/>
      </c>
    </row>
    <row r="33">
      <c r="A33" s="43" t="n">
        <v>0.25</v>
      </c>
      <c r="B33" s="26">
        <f>$B$8*(1-A33*0.5)</f>
        <v/>
      </c>
      <c r="C33" s="40">
        <f>B33-$B$8</f>
        <v/>
      </c>
      <c r="D33" s="25">
        <f>C33*Model!Q26</f>
        <v/>
      </c>
      <c r="E33" s="44">
        <f>REPT("▼",MAX(0,ROUND(-C33*100,0)))&amp;REPT("▲",MAX(0,ROUND(C33*100,0)))</f>
        <v/>
      </c>
    </row>
    <row r="36">
      <c r="A36" s="3" t="inlineStr">
        <is>
          <t>KEY INSIGHT</t>
        </is>
      </c>
    </row>
    <row r="37">
      <c r="A37" s="4" t="inlineStr">
        <is>
          <t>Coverage has the HIGHEST impact on GTN. Each 10% increase in coverage</t>
        </is>
      </c>
    </row>
    <row r="38">
      <c r="A38" s="11" t="inlineStr">
        <is>
          <t>reduces GTN by ~15% because fewer patients need the expensive Not Covered buydown.</t>
        </is>
      </c>
    </row>
  </sheetData>
  <mergeCells count="7">
    <mergeCell ref="A26:E26"/>
    <mergeCell ref="A38:E38"/>
    <mergeCell ref="A4:G4"/>
    <mergeCell ref="A37:E37"/>
    <mergeCell ref="A36:E36"/>
    <mergeCell ref="A14:E14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4">
      <c r="A4" s="1" t="inlineStr">
        <is>
          <t>EXECUTIVE SUMMARY</t>
        </is>
      </c>
    </row>
    <row r="6">
      <c r="A6" s="9" t="inlineStr">
        <is>
          <t>ANNUAL GTN %</t>
        </is>
      </c>
      <c r="C6" s="3" t="inlineStr">
        <is>
          <t>TOTAL PROGRAM COST</t>
        </is>
      </c>
      <c r="E6" s="14" t="inlineStr">
        <is>
          <t>AVG COVERAGE</t>
        </is>
      </c>
    </row>
    <row r="7">
      <c r="A7" s="45">
        <f>Model!Q27</f>
        <v/>
      </c>
      <c r="C7" s="46">
        <f>Model!Q25</f>
        <v/>
      </c>
      <c r="E7" s="47">
        <f>AVERAGE(Model!E6:P6)</f>
        <v/>
      </c>
    </row>
    <row r="8"/>
  </sheetData>
  <mergeCells count="7">
    <mergeCell ref="A4:H4"/>
    <mergeCell ref="E6:F6"/>
    <mergeCell ref="C6:D6"/>
    <mergeCell ref="C7:D8"/>
    <mergeCell ref="A7:B8"/>
    <mergeCell ref="E7:F8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2026-01-26T00:54:39Z</dcterms:created>
  <dcterms:modified xmlns:dcterms="http://purl.org/dc/terms/" xmlns:xsi="http://www.w3.org/2001/XMLSchema-instance" xsi:type="dcterms:W3CDTF">2026-01-26T00:54:39Z</dcterms:modified>
</cp:coreProperties>
</file>