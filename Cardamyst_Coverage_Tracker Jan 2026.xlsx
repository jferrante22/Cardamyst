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ilestonepharma-my.sharepoint.com/personal/jferrante_milestonepharma_com/Documents/Lives Tracking/"/>
    </mc:Choice>
  </mc:AlternateContent>
  <xr:revisionPtr revIDLastSave="0" documentId="8_{391B489C-FB6F-441A-BE10-C0D61D775489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Executive Summary" sheetId="1" r:id="rId1"/>
    <sheet name="Monthly Tracking" sheetId="2" r:id="rId2"/>
    <sheet name="Charts" sheetId="3" r:id="rId3"/>
    <sheet name="Plan Detail" sheetId="4" r:id="rId4"/>
    <sheet name="Defini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3" l="1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P25" i="2"/>
  <c r="O25" i="2"/>
  <c r="N25" i="2"/>
  <c r="M25" i="2"/>
  <c r="L25" i="2"/>
  <c r="K25" i="2"/>
  <c r="K24" i="2" s="1"/>
  <c r="F13" i="3" s="1"/>
  <c r="J25" i="2"/>
  <c r="J24" i="2" s="1"/>
  <c r="F12" i="3" s="1"/>
  <c r="I25" i="2"/>
  <c r="I24" i="2" s="1"/>
  <c r="F11" i="3" s="1"/>
  <c r="H25" i="2"/>
  <c r="H24" i="2" s="1"/>
  <c r="F10" i="3" s="1"/>
  <c r="G25" i="2"/>
  <c r="G24" i="2" s="1"/>
  <c r="F9" i="3" s="1"/>
  <c r="F25" i="2"/>
  <c r="F24" i="2" s="1"/>
  <c r="F8" i="3" s="1"/>
  <c r="E25" i="2"/>
  <c r="E24" i="2" s="1"/>
  <c r="F7" i="3" s="1"/>
  <c r="D25" i="2"/>
  <c r="D24" i="2" s="1"/>
  <c r="F6" i="3" s="1"/>
  <c r="C25" i="2"/>
  <c r="C24" i="2" s="1"/>
  <c r="F5" i="3" s="1"/>
  <c r="B25" i="2"/>
  <c r="B24" i="2" s="1"/>
  <c r="F4" i="3" s="1"/>
  <c r="P24" i="2"/>
  <c r="F18" i="3" s="1"/>
  <c r="O24" i="2"/>
  <c r="F17" i="3" s="1"/>
  <c r="N24" i="2"/>
  <c r="F16" i="3" s="1"/>
  <c r="M24" i="2"/>
  <c r="F15" i="3" s="1"/>
  <c r="L24" i="2"/>
  <c r="F14" i="3" s="1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</calcChain>
</file>

<file path=xl/sharedStrings.xml><?xml version="1.0" encoding="utf-8"?>
<sst xmlns="http://schemas.openxmlformats.org/spreadsheetml/2006/main" count="376" uniqueCount="124">
  <si>
    <t>Cardamyst Formulary Coverage Tracker</t>
  </si>
  <si>
    <t>Market Access Monthly Update</t>
  </si>
  <si>
    <t>Report Date:</t>
  </si>
  <si>
    <t>January 2026 (Partial)</t>
  </si>
  <si>
    <t>CURRENT COVERAGE SNAPSHOT</t>
  </si>
  <si>
    <t>Segment</t>
  </si>
  <si>
    <t>Total Lives</t>
  </si>
  <si>
    <t>Covered Lives</t>
  </si>
  <si>
    <t>Coverage %</t>
  </si>
  <si>
    <t>Notes</t>
  </si>
  <si>
    <t>Commercial (incl. Federal)</t>
  </si>
  <si>
    <t>Employer, PBM, HIX, FEHBP, VA, TRICARE</t>
  </si>
  <si>
    <t xml:space="preserve">   └ Federal Programs</t>
  </si>
  <si>
    <t>TRICARE, VA (subset of Commercial)</t>
  </si>
  <si>
    <t>Medicare</t>
  </si>
  <si>
    <t>Part D, MA, SNP, EGWP, PACE</t>
  </si>
  <si>
    <t>Medicaid</t>
  </si>
  <si>
    <t>State, Managed, CHIP</t>
  </si>
  <si>
    <t>TOTAL</t>
  </si>
  <si>
    <t>All Segments Combined</t>
  </si>
  <si>
    <t>TOP PLANS DRIVING COVERAGE</t>
  </si>
  <si>
    <t>Plan Name</t>
  </si>
  <si>
    <t>Plan Type</t>
  </si>
  <si>
    <t>Coverage Status</t>
  </si>
  <si>
    <t>TRICARE Uniform Formulary</t>
  </si>
  <si>
    <t>Fed Prog</t>
  </si>
  <si>
    <t>(T3) Non-Preferred</t>
  </si>
  <si>
    <t>CHI Franciscan</t>
  </si>
  <si>
    <t>Employer</t>
  </si>
  <si>
    <t>MGM Resorts International</t>
  </si>
  <si>
    <t>General Electric</t>
  </si>
  <si>
    <t>Apple</t>
  </si>
  <si>
    <t>State of Ohio</t>
  </si>
  <si>
    <t>State of Michigan</t>
  </si>
  <si>
    <t>Weis Markets</t>
  </si>
  <si>
    <t>Smithfield Foods</t>
  </si>
  <si>
    <t>Milwaukee Public Schools</t>
  </si>
  <si>
    <t>Men's Wearhouse</t>
  </si>
  <si>
    <t>Portland Adventist Medical Center</t>
  </si>
  <si>
    <t>International Longshore &amp; Warehouse Union - Pacific Maritime Association (ILWU-PMA)</t>
  </si>
  <si>
    <t>Lear</t>
  </si>
  <si>
    <t>North Mississippi Health Services</t>
  </si>
  <si>
    <t>Cardamyst Monthly Coverage Tracking</t>
  </si>
  <si>
    <t>Yellow cells = Update monthly with Clarivate data</t>
  </si>
  <si>
    <t>COMMERCIAL (incl. Federal)</t>
  </si>
  <si>
    <t>Month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</si>
  <si>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</si>
  <si>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</si>
  <si>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</si>
  <si>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</si>
  <si>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</si>
  <si>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</si>
  <si>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</si>
  <si>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</si>
  <si>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</si>
  <si>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</si>
  <si>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</si>
  <si>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</si>
  <si>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</si>
  <si>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</si>
  <si>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</si>
  <si>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Forecast %</t>
  </si>
  <si>
    <t>Actual %</t>
  </si>
  <si>
    <t>Variance (pp)</t>
  </si>
  <si>
    <t xml:space="preserve">   └ Federal Lives</t>
  </si>
  <si>
    <t>MEDICARE</t>
  </si>
  <si>
    <t>MEDICAID</t>
  </si>
  <si>
    <t>TOTAL (ALL SEGMENTS)</t>
  </si>
  <si>
    <t>Comm Forecast</t>
  </si>
  <si>
    <t>Comm Actual</t>
  </si>
  <si>
    <t>Total</t>
  </si>
  <si>
    <t>Current Snapshot</t>
  </si>
  <si>
    <t>Commercial</t>
  </si>
  <si>
    <t>Plans with Cardamyst Coverage</t>
  </si>
  <si>
    <t>Total: 31 plans covering 6,816,075 lives</t>
  </si>
  <si>
    <t>Payer Name</t>
  </si>
  <si>
    <t>Pharmacy Lives</t>
  </si>
  <si>
    <t>Commercial (Federal)</t>
  </si>
  <si>
    <t>Defense Health Agency</t>
  </si>
  <si>
    <t>Haier US Appliance Solutions</t>
  </si>
  <si>
    <t>Navient Corporation</t>
  </si>
  <si>
    <t>Syracuse University</t>
  </si>
  <si>
    <t>Community Health Network ProHealth</t>
  </si>
  <si>
    <t>Oakland County Employees</t>
  </si>
  <si>
    <t>Oakland County</t>
  </si>
  <si>
    <t>St. Luke's University Health Network</t>
  </si>
  <si>
    <t>Northern Arizona University</t>
  </si>
  <si>
    <t>BiMart</t>
  </si>
  <si>
    <t>Rochester Institute Of Technology</t>
  </si>
  <si>
    <t>City of Toledo</t>
  </si>
  <si>
    <t>Southeast Georgia Health System</t>
  </si>
  <si>
    <t>St. Elizabeth</t>
  </si>
  <si>
    <t>City of Denton</t>
  </si>
  <si>
    <t>Wellmark Blue Rx Preferred</t>
  </si>
  <si>
    <t>Wellmark</t>
  </si>
  <si>
    <t>(T4) Non-Preferred (QL)</t>
  </si>
  <si>
    <t>Nacogdoches Medical Center</t>
  </si>
  <si>
    <t>OptumRx Select</t>
  </si>
  <si>
    <t>PBM</t>
  </si>
  <si>
    <t>OptumRx</t>
  </si>
  <si>
    <t>Segment Definitions</t>
  </si>
  <si>
    <t>Plan Types Included</t>
  </si>
  <si>
    <t>Commercial, Employer, PBM, FEHBP, Municipal Plan, HIX, Pvt HIX, Fed Prog</t>
  </si>
  <si>
    <t>Includes Federal (VA, TRICARE)</t>
  </si>
  <si>
    <t>Medicare PDP, Medicare MA, Medicare SN, EGWP, Medi-Medi, PACE</t>
  </si>
  <si>
    <t>All Part D coverage channels</t>
  </si>
  <si>
    <t>State Medicaid, Managed Medicaid, HIX-Medicaid, CHiP</t>
  </si>
  <si>
    <t>Fee-for-service and managed care</t>
  </si>
  <si>
    <t>Coverage Status Mapping</t>
  </si>
  <si>
    <t>Status</t>
  </si>
  <si>
    <t>Counted as Covered?</t>
  </si>
  <si>
    <t>Rationale</t>
  </si>
  <si>
    <t>Yes</t>
  </si>
  <si>
    <t>True formulary tier placement</t>
  </si>
  <si>
    <t>True formulary tier placement with quantity limit</t>
  </si>
  <si>
    <t>(NC) Non-Preferred (PA)</t>
  </si>
  <si>
    <t>No</t>
  </si>
  <si>
    <t>NC = Not Covered; PA available but no formulary placement</t>
  </si>
  <si>
    <t>(N/A) N/A</t>
  </si>
  <si>
    <t>Not reviewed or not applicable</t>
  </si>
  <si>
    <t>(NC) Not Covered</t>
  </si>
  <si>
    <t>Explicitly not covered</t>
  </si>
  <si>
    <t>(NC) Not Covered (PA)</t>
  </si>
  <si>
    <t>Not covered; PA may be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</si>
</sst>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+0.0%;\-0.0%;0.0%"/>
  </numFmts>
  <fonts count="13" x14ac:knownFonts="1">
    <font>
      <sz val="11"/>
      <color theme="1"/>
      <name val="Calibri"/>
      <family val="2"/>
      <charset val="1"/>
    </font>
    <font>
      <b/>
      <sz val="18"/>
      <name val="Cambria"/>
      <charset val="1"/>
    </font>
    <font>
      <i/>
      <sz val="12"/>
      <name val="Cambria"/>
      <charset val="1"/>
    </font>
    <font>
      <b/>
      <sz val="11"/>
      <name val="Cambria"/>
      <charset val="1"/>
    </font>
    <font>
      <b/>
      <sz val="14"/>
      <color rgb="FFFFFFFF"/>
      <name val="Cambria"/>
      <charset val="1"/>
    </font>
    <font>
      <i/>
      <sz val="11"/>
      <name val="Cambria"/>
      <charset val="1"/>
    </font>
    <font>
      <b/>
      <sz val="12"/>
      <color rgb="FF2F5496"/>
      <name val="Cambria"/>
      <charset val="1"/>
    </font>
    <font>
      <b/>
      <sz val="16"/>
      <name val="Cambria"/>
      <charset val="1"/>
    </font>
    <font>
      <i/>
      <sz val="10"/>
      <color rgb="FF666666"/>
      <name val="Cambria"/>
      <charset val="1"/>
    </font>
    <font>
      <i/>
      <sz val="10"/>
      <name val="Cambria"/>
      <charset val="1"/>
    </font>
    <font>
      <b/>
      <sz val="11"/>
      <color rgb="FF666666"/>
      <name val="Cambria"/>
      <charset val="1"/>
    </font>
    <font>
      <b/>
      <sz val="14"/>
      <name val="Cambria"/>
      <charset val="1"/>
    </font>
    <font>
      <b/>
      <sz val="12"/>
      <name val="Cambria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D6DCE4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E2EFDA"/>
        <bgColor rgb="FFD6DCE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2" borderId="0" xfId="0" applyFont="1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3" borderId="1" xfId="0" applyFont="1" applyFill="1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164" fontId="3" fillId="0" borderId="1" xfId="0" applyNumberFormat="1" applyFont="1" applyBorder="1"/>
    <xf numFmtId="0" fontId="5" fillId="4" borderId="1" xfId="0" applyFont="1" applyFill="1" applyBorder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0" fontId="3" fillId="5" borderId="1" xfId="0" applyFont="1" applyFill="1" applyBorder="1"/>
    <xf numFmtId="3" fontId="3" fillId="5" borderId="1" xfId="0" applyNumberFormat="1" applyFont="1" applyFill="1" applyBorder="1"/>
    <xf numFmtId="164" fontId="3" fillId="5" borderId="1" xfId="0" applyNumberFormat="1" applyFont="1" applyFill="1" applyBorder="1"/>
    <xf numFmtId="0" fontId="6" fillId="0" borderId="0" xfId="0" applyFont="1"/>
    <xf numFmtId="0" fontId="3" fillId="3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3" fillId="3" borderId="1" xfId="0" applyFont="1" applyFill="1" applyBorder="1"/>
    <xf numFmtId="9" fontId="0" fillId="0" borderId="1" xfId="0" applyNumberFormat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0" fillId="6" borderId="1" xfId="0" applyNumberFormat="1" applyFill="1" applyBorder="1" applyAlignment="1">
      <alignment horizontal="center"/>
    </xf>
    <xf numFmtId="0" fontId="9" fillId="4" borderId="1" xfId="0" applyFont="1" applyFill="1" applyBorder="1"/>
    <xf numFmtId="3" fontId="0" fillId="4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3" fontId="0" fillId="5" borderId="1" xfId="0" applyNumberFormat="1" applyFill="1" applyBorder="1" applyAlignment="1">
      <alignment horizontal="center"/>
    </xf>
    <xf numFmtId="0" fontId="10" fillId="0" borderId="0" xfId="0" applyFont="1"/>
    <xf numFmtId="0" fontId="3" fillId="3" borderId="0" xfId="0" applyFont="1" applyFill="1"/>
    <xf numFmtId="9" fontId="0" fillId="0" borderId="0" xfId="0" applyNumberFormat="1"/>
    <xf numFmtId="164" fontId="0" fillId="0" borderId="0" xfId="0" applyNumberFormat="1"/>
    <xf numFmtId="0" fontId="11" fillId="0" borderId="0" xfId="0" applyFont="1"/>
    <xf numFmtId="0" fontId="5" fillId="0" borderId="0" xfId="0" applyFont="1"/>
    <xf numFmtId="0" fontId="0" fillId="4" borderId="1" xfId="0" applyFill="1" applyBorder="1"/>
    <xf numFmtId="3" fontId="0" fillId="4" borderId="1" xfId="0" applyNumberFormat="1" applyFill="1" applyBorder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BE4B48"/>
      <rgbColor rgb="FFFFF2CC"/>
      <rgbColor rgb="FFF9F9F9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F81BD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Commercial Coverage: Forecast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7365774483668992E-2"/>
          <c:y val="0.11356966006779518"/>
          <c:w val="0.75913123873214483"/>
          <c:h val="0.73514382564527625"/>
        </c:manualLayout>
      </c:layout>
      <c:lineChart>
        <c:grouping val="standar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Comm Forecast</c:v>
                </c:pt>
              </c:strCache>
            </c:strRef>
          </c:tx>
          <c:spPr>
            <a:ln w="47520">
              <a:solidFill>
                <a:srgbClr val="4A7EBB"/>
              </a:solidFill>
              <a:round/>
            </a:ln>
          </c:spPr>
          <c:cat>
            <c:strRef>
              <c:f>Charts!$A$4:$A$18</c:f>
              <c:strCache>
                <c:ptCount val="15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Aug-26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Dec-26</c:v>
                </c:pt>
                <c:pt idx="12">
                  <c:v>Jan-27</c:v>
                </c:pt>
                <c:pt idx="13">
                  <c:v>Feb-27</c:v>
                </c:pt>
                <c:pt idx="14">
                  <c:v>Mar-27</c:v>
                </c:pt>
              </c:strCache>
            </c:strRef>
          </c:cat>
          <c:val>
            <c:numRef>
              <c:f>Charts!$B$4:$B$18</c:f>
              <c:numCache>
                <c:formatCode>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0.06</c:v>
                </c:pt>
                <c:pt idx="4">
                  <c:v>0.11</c:v>
                </c:pt>
                <c:pt idx="5">
                  <c:v>0.28999999999999998</c:v>
                </c:pt>
                <c:pt idx="6">
                  <c:v>0.44</c:v>
                </c:pt>
                <c:pt idx="7">
                  <c:v>0.52</c:v>
                </c:pt>
                <c:pt idx="8">
                  <c:v>0.57999999999999996</c:v>
                </c:pt>
                <c:pt idx="9">
                  <c:v>0.57999999999999996</c:v>
                </c:pt>
                <c:pt idx="10">
                  <c:v>0.57999999999999996</c:v>
                </c:pt>
                <c:pt idx="11">
                  <c:v>0.57999999999999996</c:v>
                </c:pt>
                <c:pt idx="12">
                  <c:v>0.71</c:v>
                </c:pt>
                <c:pt idx="13">
                  <c:v>0.83</c:v>
                </c:pt>
                <c:pt idx="14">
                  <c:v>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DB-4E12-9E01-16380669848B}"/>
            </c:ext>
          </c:extLst>
        </c:ser>
        <c:ser>
          <c:idx val="1"/>
          <c:order val="1"/>
          <c:tx>
            <c:strRef>
              <c:f>Charts!$C$3</c:f>
              <c:strCache>
                <c:ptCount val="1"/>
                <c:pt idx="0">
                  <c:v>Comm Actual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Charts!$A$4:$A$18</c:f>
              <c:strCache>
                <c:ptCount val="15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  <c:pt idx="6">
                  <c:v>Jul-26</c:v>
                </c:pt>
                <c:pt idx="7">
                  <c:v>Aug-26</c:v>
                </c:pt>
                <c:pt idx="8">
                  <c:v>Sep-26</c:v>
                </c:pt>
                <c:pt idx="9">
                  <c:v>Oct-26</c:v>
                </c:pt>
                <c:pt idx="10">
                  <c:v>Nov-26</c:v>
                </c:pt>
                <c:pt idx="11">
                  <c:v>Dec-26</c:v>
                </c:pt>
                <c:pt idx="12">
                  <c:v>Jan-27</c:v>
                </c:pt>
                <c:pt idx="13">
                  <c:v>Feb-27</c:v>
                </c:pt>
                <c:pt idx="14">
                  <c:v>Mar-27</c:v>
                </c:pt>
              </c:strCache>
            </c:strRef>
          </c:cat>
          <c:val>
            <c:numRef>
              <c:f>Charts!$C$4</c:f>
              <c:numCache>
                <c:formatCode>0.0%</c:formatCode>
                <c:ptCount val="1"/>
                <c:pt idx="0">
                  <c:v>3.6544890471871497E-2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2DB-4E12-9E01-163806698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808958"/>
        <c:axId val="4354959"/>
      </c:lineChart>
      <c:catAx>
        <c:axId val="60808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54959"/>
        <c:crosses val="autoZero"/>
        <c:auto val="1"/>
        <c:lblAlgn val="ctr"/>
        <c:lblOffset val="100"/>
        <c:noMultiLvlLbl val="0"/>
      </c:catAx>
      <c:valAx>
        <c:axId val="435495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noFill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 Covered Lives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08089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Current Coverage by Segment (Jan 2026)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Charts!$B$23</c:f>
              <c:strCache>
                <c:ptCount val="1"/>
                <c:pt idx="0">
                  <c:v>Coverage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Charts!$A$24:$A$26</c:f>
              <c:strCache>
                <c:ptCount val="3"/>
                <c:pt idx="0">
                  <c:v>Commercial</c:v>
                </c:pt>
                <c:pt idx="1">
                  <c:v>Medicare</c:v>
                </c:pt>
                <c:pt idx="2">
                  <c:v>Medicaid</c:v>
                </c:pt>
              </c:strCache>
            </c:strRef>
          </c:cat>
          <c:val>
            <c:numRef>
              <c:f>Charts!$B$24:$B$26</c:f>
              <c:numCache>
                <c:formatCode>0.0%</c:formatCode>
                <c:ptCount val="3"/>
                <c:pt idx="0">
                  <c:v>3.6544890471871497E-2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FA-4757-BF6E-3BFE52FB3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319928"/>
        <c:axId val="62251334"/>
      </c:barChart>
      <c:catAx>
        <c:axId val="72319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251334"/>
        <c:crosses val="autoZero"/>
        <c:auto val="1"/>
        <c:lblAlgn val="ctr"/>
        <c:lblOffset val="100"/>
        <c:noMultiLvlLbl val="0"/>
      </c:catAx>
      <c:valAx>
        <c:axId val="622513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% Covered Lives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23199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47625</xdr:rowOff>
    </xdr:from>
    <xdr:to>
      <xdr:col>23</xdr:col>
      <xdr:colOff>438150</xdr:colOff>
      <xdr:row>26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219075</xdr:colOff>
      <xdr:row>27</xdr:row>
      <xdr:rowOff>104775</xdr:rowOff>
    </xdr:from>
    <xdr:to>
      <xdr:col>17</xdr:col>
      <xdr:colOff>285750</xdr:colOff>
      <xdr:row>46</xdr:row>
      <xdr:rowOff>84915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zoomScaleNormal="100" workbookViewId="0"/>
  </sheetViews>
  <sheetFormatPr defaultColWidth="8.7109375" defaultRowHeight="15" x14ac:dyDescent="0.25"/>
  <cols>
    <col min="1" max="1" width="55" customWidth="1"/>
    <col min="2" max="3" width="18" customWidth="1"/>
    <col min="4" max="4" width="20" customWidth="1"/>
    <col min="5" max="5" width="38" customWidth="1"/>
  </cols>
  <sheetData>
    <row r="1" spans="1:5" ht="22.5" x14ac:dyDescent="0.3">
      <c r="A1" s="2" t="s">
        <v>0</v>
      </c>
    </row>
    <row r="2" spans="1:5" ht="15.75" x14ac:dyDescent="0.25">
      <c r="A2" s="3" t="s">
        <v>1</v>
      </c>
    </row>
    <row r="4" spans="1:5" x14ac:dyDescent="0.25">
      <c r="A4" t="s">
        <v>2</v>
      </c>
      <c r="B4" s="4" t="s">
        <v>3</v>
      </c>
    </row>
    <row r="6" spans="1:5" ht="18" x14ac:dyDescent="0.25">
      <c r="A6" s="1" t="s">
        <v>4</v>
      </c>
      <c r="B6" s="1"/>
      <c r="C6" s="1"/>
      <c r="D6" s="1"/>
      <c r="E6" s="1"/>
    </row>
    <row r="7" spans="1:5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</row>
    <row r="8" spans="1:5" x14ac:dyDescent="0.25">
      <c r="A8" s="6" t="s">
        <v>10</v>
      </c>
      <c r="B8" s="7">
        <v>186512403.298392</v>
      </c>
      <c r="C8" s="7">
        <v>6816075.3501852499</v>
      </c>
      <c r="D8" s="8">
        <v>3.6544890471871497E-2</v>
      </c>
      <c r="E8" s="6" t="s">
        <v>11</v>
      </c>
    </row>
    <row r="9" spans="1:5" x14ac:dyDescent="0.25">
      <c r="A9" s="9" t="s">
        <v>12</v>
      </c>
      <c r="B9" s="10">
        <v>15711264</v>
      </c>
      <c r="C9" s="10">
        <v>5749433</v>
      </c>
      <c r="D9" s="11">
        <v>0.36594337667548599</v>
      </c>
      <c r="E9" s="9" t="s">
        <v>13</v>
      </c>
    </row>
    <row r="10" spans="1:5" x14ac:dyDescent="0.25">
      <c r="A10" s="6" t="s">
        <v>14</v>
      </c>
      <c r="B10" s="7">
        <v>53706458.103404999</v>
      </c>
      <c r="C10" s="7">
        <v>0</v>
      </c>
      <c r="D10" s="8">
        <v>0</v>
      </c>
      <c r="E10" s="6" t="s">
        <v>15</v>
      </c>
    </row>
    <row r="11" spans="1:5" x14ac:dyDescent="0.25">
      <c r="A11" s="6" t="s">
        <v>16</v>
      </c>
      <c r="B11" s="7">
        <v>76473936.785583898</v>
      </c>
      <c r="C11" s="7">
        <v>0</v>
      </c>
      <c r="D11" s="8">
        <v>0</v>
      </c>
      <c r="E11" s="6" t="s">
        <v>17</v>
      </c>
    </row>
    <row r="12" spans="1:5" x14ac:dyDescent="0.25">
      <c r="A12" s="12" t="s">
        <v>18</v>
      </c>
      <c r="B12" s="13">
        <v>316692798.18738103</v>
      </c>
      <c r="C12" s="13">
        <v>6816075.3501852499</v>
      </c>
      <c r="D12" s="14">
        <v>2.1522672410606299E-2</v>
      </c>
      <c r="E12" s="12" t="s">
        <v>19</v>
      </c>
    </row>
    <row r="14" spans="1:5" ht="15.75" x14ac:dyDescent="0.25">
      <c r="A14" s="15" t="s">
        <v>20</v>
      </c>
    </row>
    <row r="15" spans="1:5" x14ac:dyDescent="0.25">
      <c r="A15" s="16" t="s">
        <v>21</v>
      </c>
      <c r="B15" s="5" t="s">
        <v>22</v>
      </c>
      <c r="C15" s="5" t="s">
        <v>7</v>
      </c>
      <c r="D15" s="5" t="s">
        <v>23</v>
      </c>
    </row>
    <row r="16" spans="1:5" x14ac:dyDescent="0.25">
      <c r="A16" s="6" t="s">
        <v>24</v>
      </c>
      <c r="B16" s="17" t="s">
        <v>25</v>
      </c>
      <c r="C16" s="18">
        <v>5749433</v>
      </c>
      <c r="D16" s="17" t="s">
        <v>26</v>
      </c>
    </row>
    <row r="17" spans="1:4" x14ac:dyDescent="0.25">
      <c r="A17" s="6" t="s">
        <v>27</v>
      </c>
      <c r="B17" s="17" t="s">
        <v>28</v>
      </c>
      <c r="C17" s="18">
        <v>217484</v>
      </c>
      <c r="D17" s="17" t="s">
        <v>26</v>
      </c>
    </row>
    <row r="18" spans="1:4" x14ac:dyDescent="0.25">
      <c r="A18" s="6" t="s">
        <v>29</v>
      </c>
      <c r="B18" s="17" t="s">
        <v>28</v>
      </c>
      <c r="C18" s="18">
        <v>183545</v>
      </c>
      <c r="D18" s="17" t="s">
        <v>26</v>
      </c>
    </row>
    <row r="19" spans="1:4" x14ac:dyDescent="0.25">
      <c r="A19" s="6" t="s">
        <v>30</v>
      </c>
      <c r="B19" s="17" t="s">
        <v>28</v>
      </c>
      <c r="C19" s="18">
        <v>118127</v>
      </c>
      <c r="D19" s="17" t="s">
        <v>26</v>
      </c>
    </row>
    <row r="20" spans="1:4" x14ac:dyDescent="0.25">
      <c r="A20" s="6" t="s">
        <v>31</v>
      </c>
      <c r="B20" s="17" t="s">
        <v>28</v>
      </c>
      <c r="C20" s="18">
        <v>106071</v>
      </c>
      <c r="D20" s="17" t="s">
        <v>26</v>
      </c>
    </row>
    <row r="21" spans="1:4" x14ac:dyDescent="0.25">
      <c r="A21" s="6" t="s">
        <v>32</v>
      </c>
      <c r="B21" s="17" t="s">
        <v>28</v>
      </c>
      <c r="C21" s="18">
        <v>105276</v>
      </c>
      <c r="D21" s="17" t="s">
        <v>26</v>
      </c>
    </row>
    <row r="22" spans="1:4" x14ac:dyDescent="0.25">
      <c r="A22" s="6" t="s">
        <v>33</v>
      </c>
      <c r="B22" s="17" t="s">
        <v>28</v>
      </c>
      <c r="C22" s="18">
        <v>91117</v>
      </c>
      <c r="D22" s="17" t="s">
        <v>26</v>
      </c>
    </row>
    <row r="23" spans="1:4" x14ac:dyDescent="0.25">
      <c r="A23" s="6" t="s">
        <v>34</v>
      </c>
      <c r="B23" s="17" t="s">
        <v>28</v>
      </c>
      <c r="C23" s="18">
        <v>41806</v>
      </c>
      <c r="D23" s="17" t="s">
        <v>26</v>
      </c>
    </row>
    <row r="24" spans="1:4" x14ac:dyDescent="0.25">
      <c r="A24" s="6" t="s">
        <v>35</v>
      </c>
      <c r="B24" s="17" t="s">
        <v>28</v>
      </c>
      <c r="C24" s="18">
        <v>21372</v>
      </c>
      <c r="D24" s="17" t="s">
        <v>26</v>
      </c>
    </row>
    <row r="25" spans="1:4" x14ac:dyDescent="0.25">
      <c r="A25" s="6" t="s">
        <v>36</v>
      </c>
      <c r="B25" s="17" t="s">
        <v>28</v>
      </c>
      <c r="C25" s="18">
        <v>20367</v>
      </c>
      <c r="D25" s="17" t="s">
        <v>26</v>
      </c>
    </row>
    <row r="26" spans="1:4" x14ac:dyDescent="0.25">
      <c r="A26" s="6" t="s">
        <v>37</v>
      </c>
      <c r="B26" s="17" t="s">
        <v>28</v>
      </c>
      <c r="C26" s="18">
        <v>17009</v>
      </c>
      <c r="D26" s="17" t="s">
        <v>26</v>
      </c>
    </row>
    <row r="27" spans="1:4" x14ac:dyDescent="0.25">
      <c r="A27" s="6" t="s">
        <v>38</v>
      </c>
      <c r="B27" s="17" t="s">
        <v>28</v>
      </c>
      <c r="C27" s="18">
        <v>16004</v>
      </c>
      <c r="D27" s="17" t="s">
        <v>26</v>
      </c>
    </row>
    <row r="28" spans="1:4" x14ac:dyDescent="0.25">
      <c r="A28" s="6" t="s">
        <v>39</v>
      </c>
      <c r="B28" s="17" t="s">
        <v>28</v>
      </c>
      <c r="C28" s="18">
        <v>13977.350185248401</v>
      </c>
      <c r="D28" s="17" t="s">
        <v>26</v>
      </c>
    </row>
    <row r="29" spans="1:4" x14ac:dyDescent="0.25">
      <c r="A29" s="6" t="s">
        <v>40</v>
      </c>
      <c r="B29" s="17" t="s">
        <v>28</v>
      </c>
      <c r="C29" s="18">
        <v>13631</v>
      </c>
      <c r="D29" s="17" t="s">
        <v>26</v>
      </c>
    </row>
    <row r="30" spans="1:4" x14ac:dyDescent="0.25">
      <c r="A30" s="6" t="s">
        <v>41</v>
      </c>
      <c r="B30" s="17" t="s">
        <v>28</v>
      </c>
      <c r="C30" s="18">
        <v>13074</v>
      </c>
      <c r="D30" s="17" t="s">
        <v>26</v>
      </c>
    </row>
  </sheetData>
  <mergeCells count="1"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5"/>
  <sheetViews>
    <sheetView zoomScaleNormal="100" workbookViewId="0"/>
  </sheetViews>
  <sheetFormatPr defaultColWidth="8.7109375" defaultRowHeight="15" x14ac:dyDescent="0.25"/>
  <cols>
    <col min="1" max="1" width="18" customWidth="1"/>
    <col min="2" max="17" width="10" customWidth="1"/>
  </cols>
  <sheetData>
    <row r="1" spans="1:17" ht="20.25" x14ac:dyDescent="0.3">
      <c r="A1" s="19" t="s">
        <v>42</v>
      </c>
    </row>
    <row r="2" spans="1:17" x14ac:dyDescent="0.25">
      <c r="A2" s="20" t="s">
        <v>43</v>
      </c>
    </row>
    <row r="4" spans="1:17" ht="18" x14ac:dyDescent="0.25">
      <c r="A4" s="1" t="s">
        <v>44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 s="21" t="s">
        <v>45</v>
      </c>
      <c r="B5" s="5" t="s">
        <v>46</v>
      </c>
      <c r="C5" s="5" t="s">
        <v>47</v>
      </c>
      <c r="D5" s="5" t="s">
        <v>48</v>
      </c>
      <c r="E5" s="5" t="s">
        <v>49</v>
      </c>
      <c r="F5" s="5" t="s">
        <v>50</v>
      </c>
      <c r="G5" s="5" t="s">
        <v>51</v>
      </c>
      <c r="H5" s="5" t="s">
        <v>52</v>
      </c>
      <c r="I5" s="5" t="s">
        <v>53</v>
      </c>
      <c r="J5" s="5" t="s">
        <v>54</v>
      </c>
      <c r="K5" s="5" t="s">
        <v>55</v>
      </c>
      <c r="L5" s="5" t="s">
        <v>56</v>
      </c>
      <c r="M5" s="5" t="s">
        <v>57</v>
      </c>
      <c r="N5" s="5" t="s">
        <v>58</v>
      </c>
      <c r="O5" s="5" t="s">
        <v>59</v>
      </c>
      <c r="P5" s="5" t="s">
        <v>60</v>
      </c>
    </row>
    <row r="6" spans="1:17" x14ac:dyDescent="0.25">
      <c r="A6" s="21" t="s">
        <v>61</v>
      </c>
      <c r="B6" s="22">
        <v>0</v>
      </c>
      <c r="C6" s="22">
        <v>0</v>
      </c>
      <c r="D6" s="22">
        <v>0</v>
      </c>
      <c r="E6" s="22">
        <v>0.06</v>
      </c>
      <c r="F6" s="22">
        <v>0.11</v>
      </c>
      <c r="G6" s="22">
        <v>0.28999999999999998</v>
      </c>
      <c r="H6" s="22">
        <v>0.44</v>
      </c>
      <c r="I6" s="22">
        <v>0.52</v>
      </c>
      <c r="J6" s="22">
        <v>0.57999999999999996</v>
      </c>
      <c r="K6" s="22">
        <v>0.57999999999999996</v>
      </c>
      <c r="L6" s="22">
        <v>0.57999999999999996</v>
      </c>
      <c r="M6" s="22">
        <v>0.57999999999999996</v>
      </c>
      <c r="N6" s="22">
        <v>0.71</v>
      </c>
      <c r="O6" s="22">
        <v>0.83</v>
      </c>
      <c r="P6" s="22">
        <v>0.84</v>
      </c>
    </row>
    <row r="7" spans="1:17" x14ac:dyDescent="0.25">
      <c r="A7" s="21" t="s">
        <v>62</v>
      </c>
      <c r="B7" s="23">
        <v>3.6544890471871497E-2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7" x14ac:dyDescent="0.25">
      <c r="A8" s="21" t="s">
        <v>63</v>
      </c>
      <c r="B8" s="24">
        <f t="shared" ref="B8:P8" si="0">IF(B7="","",(B7-B6))</f>
        <v>3.6544890471871497E-2</v>
      </c>
      <c r="C8" s="24" t="str">
        <f t="shared" si="0"/>
        <v/>
      </c>
      <c r="D8" s="24" t="str">
        <f t="shared" si="0"/>
        <v/>
      </c>
      <c r="E8" s="24" t="str">
        <f t="shared" si="0"/>
        <v/>
      </c>
      <c r="F8" s="24" t="str">
        <f t="shared" si="0"/>
        <v/>
      </c>
      <c r="G8" s="24" t="str">
        <f t="shared" si="0"/>
        <v/>
      </c>
      <c r="H8" s="24" t="str">
        <f t="shared" si="0"/>
        <v/>
      </c>
      <c r="I8" s="24" t="str">
        <f t="shared" si="0"/>
        <v/>
      </c>
      <c r="J8" s="24" t="str">
        <f t="shared" si="0"/>
        <v/>
      </c>
      <c r="K8" s="24" t="str">
        <f t="shared" si="0"/>
        <v/>
      </c>
      <c r="L8" s="24" t="str">
        <f t="shared" si="0"/>
        <v/>
      </c>
      <c r="M8" s="24" t="str">
        <f t="shared" si="0"/>
        <v/>
      </c>
      <c r="N8" s="24" t="str">
        <f t="shared" si="0"/>
        <v/>
      </c>
      <c r="O8" s="24" t="str">
        <f t="shared" si="0"/>
        <v/>
      </c>
      <c r="P8" s="24" t="str">
        <f t="shared" si="0"/>
        <v/>
      </c>
    </row>
    <row r="9" spans="1:17" x14ac:dyDescent="0.25">
      <c r="A9" s="21" t="s">
        <v>7</v>
      </c>
      <c r="B9" s="25">
        <v>6816075.3501852499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7" x14ac:dyDescent="0.25">
      <c r="A10" s="26" t="s">
        <v>64</v>
      </c>
      <c r="B10" s="27">
        <v>5749433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</row>
    <row r="12" spans="1:17" ht="18" x14ac:dyDescent="0.25">
      <c r="A12" s="1" t="s">
        <v>65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 s="21" t="s">
        <v>45</v>
      </c>
      <c r="B13" s="5" t="s">
        <v>46</v>
      </c>
      <c r="C13" s="5" t="s">
        <v>47</v>
      </c>
      <c r="D13" s="5" t="s">
        <v>48</v>
      </c>
      <c r="E13" s="5" t="s">
        <v>49</v>
      </c>
      <c r="F13" s="5" t="s">
        <v>50</v>
      </c>
      <c r="G13" s="5" t="s">
        <v>51</v>
      </c>
      <c r="H13" s="5" t="s">
        <v>52</v>
      </c>
      <c r="I13" s="5" t="s">
        <v>53</v>
      </c>
      <c r="J13" s="5" t="s">
        <v>54</v>
      </c>
      <c r="K13" s="5" t="s">
        <v>55</v>
      </c>
      <c r="L13" s="5" t="s">
        <v>56</v>
      </c>
      <c r="M13" s="5" t="s">
        <v>57</v>
      </c>
      <c r="N13" s="5" t="s">
        <v>58</v>
      </c>
      <c r="O13" s="5" t="s">
        <v>59</v>
      </c>
      <c r="P13" s="5" t="s">
        <v>60</v>
      </c>
    </row>
    <row r="14" spans="1:17" x14ac:dyDescent="0.25">
      <c r="A14" s="21" t="s">
        <v>62</v>
      </c>
      <c r="B14" s="23">
        <v>0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</row>
    <row r="15" spans="1:17" x14ac:dyDescent="0.25">
      <c r="A15" s="21" t="s">
        <v>7</v>
      </c>
      <c r="B15" s="25">
        <v>0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7" spans="1:17" ht="18" x14ac:dyDescent="0.25">
      <c r="A17" s="1" t="s">
        <v>66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 s="21" t="s">
        <v>45</v>
      </c>
      <c r="B18" s="5" t="s">
        <v>46</v>
      </c>
      <c r="C18" s="5" t="s">
        <v>47</v>
      </c>
      <c r="D18" s="5" t="s">
        <v>48</v>
      </c>
      <c r="E18" s="5" t="s">
        <v>49</v>
      </c>
      <c r="F18" s="5" t="s">
        <v>50</v>
      </c>
      <c r="G18" s="5" t="s">
        <v>51</v>
      </c>
      <c r="H18" s="5" t="s">
        <v>52</v>
      </c>
      <c r="I18" s="5" t="s">
        <v>53</v>
      </c>
      <c r="J18" s="5" t="s">
        <v>54</v>
      </c>
      <c r="K18" s="5" t="s">
        <v>55</v>
      </c>
      <c r="L18" s="5" t="s">
        <v>56</v>
      </c>
      <c r="M18" s="5" t="s">
        <v>57</v>
      </c>
      <c r="N18" s="5" t="s">
        <v>58</v>
      </c>
      <c r="O18" s="5" t="s">
        <v>59</v>
      </c>
      <c r="P18" s="5" t="s">
        <v>60</v>
      </c>
    </row>
    <row r="19" spans="1:17" x14ac:dyDescent="0.25">
      <c r="A19" s="21" t="s">
        <v>62</v>
      </c>
      <c r="B19" s="23"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</row>
    <row r="20" spans="1:17" x14ac:dyDescent="0.25">
      <c r="A20" s="21" t="s">
        <v>7</v>
      </c>
      <c r="B20" s="25">
        <v>0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</row>
    <row r="22" spans="1:17" ht="18" x14ac:dyDescent="0.25">
      <c r="A22" s="1" t="s">
        <v>67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 s="21" t="s">
        <v>45</v>
      </c>
      <c r="B23" s="5" t="s">
        <v>46</v>
      </c>
      <c r="C23" s="5" t="s">
        <v>47</v>
      </c>
      <c r="D23" s="5" t="s">
        <v>48</v>
      </c>
      <c r="E23" s="5" t="s">
        <v>49</v>
      </c>
      <c r="F23" s="5" t="s">
        <v>50</v>
      </c>
      <c r="G23" s="5" t="s">
        <v>51</v>
      </c>
      <c r="H23" s="5" t="s">
        <v>52</v>
      </c>
      <c r="I23" s="5" t="s">
        <v>53</v>
      </c>
      <c r="J23" s="5" t="s">
        <v>54</v>
      </c>
      <c r="K23" s="5" t="s">
        <v>55</v>
      </c>
      <c r="L23" s="5" t="s">
        <v>56</v>
      </c>
      <c r="M23" s="5" t="s">
        <v>57</v>
      </c>
      <c r="N23" s="5" t="s">
        <v>58</v>
      </c>
      <c r="O23" s="5" t="s">
        <v>59</v>
      </c>
      <c r="P23" s="5" t="s">
        <v>60</v>
      </c>
    </row>
    <row r="24" spans="1:17" x14ac:dyDescent="0.25">
      <c r="A24" s="21" t="s">
        <v>62</v>
      </c>
      <c r="B24" s="28">
        <f t="shared" ref="B24:P24" si="1">IF(B25="","",B25/316692798.187381)</f>
        <v>2.1522672410606285E-2</v>
      </c>
      <c r="C24" s="28" t="str">
        <f t="shared" si="1"/>
        <v/>
      </c>
      <c r="D24" s="28" t="str">
        <f t="shared" si="1"/>
        <v/>
      </c>
      <c r="E24" s="28" t="str">
        <f t="shared" si="1"/>
        <v/>
      </c>
      <c r="F24" s="28" t="str">
        <f t="shared" si="1"/>
        <v/>
      </c>
      <c r="G24" s="28" t="str">
        <f t="shared" si="1"/>
        <v/>
      </c>
      <c r="H24" s="28" t="str">
        <f t="shared" si="1"/>
        <v/>
      </c>
      <c r="I24" s="28" t="str">
        <f t="shared" si="1"/>
        <v/>
      </c>
      <c r="J24" s="28" t="str">
        <f t="shared" si="1"/>
        <v/>
      </c>
      <c r="K24" s="28" t="str">
        <f t="shared" si="1"/>
        <v/>
      </c>
      <c r="L24" s="28" t="str">
        <f t="shared" si="1"/>
        <v/>
      </c>
      <c r="M24" s="28" t="str">
        <f t="shared" si="1"/>
        <v/>
      </c>
      <c r="N24" s="28" t="str">
        <f t="shared" si="1"/>
        <v/>
      </c>
      <c r="O24" s="28" t="str">
        <f t="shared" si="1"/>
        <v/>
      </c>
      <c r="P24" s="28" t="str">
        <f t="shared" si="1"/>
        <v/>
      </c>
    </row>
    <row r="25" spans="1:17" x14ac:dyDescent="0.25">
      <c r="A25" s="21" t="s">
        <v>7</v>
      </c>
      <c r="B25" s="29">
        <f t="shared" ref="B25:P25" si="2">IF(AND(B9="",B15="",B20=""),"",IF(B9="",0,B9)+IF(B15="",0,B15)+IF(B20="",0,B20))</f>
        <v>6816075.3501852499</v>
      </c>
      <c r="C25" s="29" t="str">
        <f t="shared" si="2"/>
        <v/>
      </c>
      <c r="D25" s="29" t="str">
        <f t="shared" si="2"/>
        <v/>
      </c>
      <c r="E25" s="29" t="str">
        <f t="shared" si="2"/>
        <v/>
      </c>
      <c r="F25" s="29" t="str">
        <f t="shared" si="2"/>
        <v/>
      </c>
      <c r="G25" s="29" t="str">
        <f t="shared" si="2"/>
        <v/>
      </c>
      <c r="H25" s="29" t="str">
        <f t="shared" si="2"/>
        <v/>
      </c>
      <c r="I25" s="29" t="str">
        <f t="shared" si="2"/>
        <v/>
      </c>
      <c r="J25" s="29" t="str">
        <f t="shared" si="2"/>
        <v/>
      </c>
      <c r="K25" s="29" t="str">
        <f t="shared" si="2"/>
        <v/>
      </c>
      <c r="L25" s="29" t="str">
        <f t="shared" si="2"/>
        <v/>
      </c>
      <c r="M25" s="29" t="str">
        <f t="shared" si="2"/>
        <v/>
      </c>
      <c r="N25" s="29" t="str">
        <f t="shared" si="2"/>
        <v/>
      </c>
      <c r="O25" s="29" t="str">
        <f t="shared" si="2"/>
        <v/>
      </c>
      <c r="P25" s="29" t="str">
        <f t="shared" si="2"/>
        <v/>
      </c>
    </row>
  </sheetData>
  <mergeCells count="4">
    <mergeCell ref="A4:Q4"/>
    <mergeCell ref="A12:Q12"/>
    <mergeCell ref="A17:Q17"/>
    <mergeCell ref="A22:Q2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zoomScaleNormal="100" workbookViewId="0">
      <selection activeCell="C1" sqref="C1:C1048576"/>
    </sheetView>
  </sheetViews>
  <sheetFormatPr defaultColWidth="8.7109375" defaultRowHeight="15" x14ac:dyDescent="0.25"/>
  <cols>
    <col min="1" max="1" width="16.42578125" bestFit="1" customWidth="1"/>
    <col min="2" max="2" width="16.5703125" bestFit="1" customWidth="1"/>
    <col min="3" max="3" width="14.42578125" bestFit="1" customWidth="1"/>
  </cols>
  <sheetData>
    <row r="1" spans="1:6" x14ac:dyDescent="0.25">
      <c r="A1" s="30"/>
    </row>
    <row r="3" spans="1:6" x14ac:dyDescent="0.25">
      <c r="A3" s="31" t="s">
        <v>45</v>
      </c>
      <c r="B3" s="31" t="s">
        <v>68</v>
      </c>
      <c r="C3" s="31" t="s">
        <v>69</v>
      </c>
      <c r="D3" s="31" t="s">
        <v>14</v>
      </c>
      <c r="E3" s="31" t="s">
        <v>16</v>
      </c>
      <c r="F3" s="31" t="s">
        <v>70</v>
      </c>
    </row>
    <row r="4" spans="1:6" x14ac:dyDescent="0.25">
      <c r="A4" t="s">
        <v>46</v>
      </c>
      <c r="B4" s="32">
        <v>0</v>
      </c>
      <c r="C4" s="33">
        <f>'Monthly Tracking'!B7</f>
        <v>3.6544890471871497E-2</v>
      </c>
      <c r="D4" s="33">
        <f>'Monthly Tracking'!B14</f>
        <v>0</v>
      </c>
      <c r="E4" s="33">
        <f>'Monthly Tracking'!B19</f>
        <v>0</v>
      </c>
      <c r="F4" s="33">
        <f>'Monthly Tracking'!B24</f>
        <v>2.1522672410606285E-2</v>
      </c>
    </row>
    <row r="5" spans="1:6" x14ac:dyDescent="0.25">
      <c r="A5" t="s">
        <v>47</v>
      </c>
      <c r="B5" s="32">
        <v>0</v>
      </c>
      <c r="C5" s="33">
        <f>'Monthly Tracking'!C7</f>
        <v>0</v>
      </c>
      <c r="D5" s="33">
        <f>'Monthly Tracking'!C14</f>
        <v>0</v>
      </c>
      <c r="E5" s="33">
        <f>'Monthly Tracking'!C19</f>
        <v>0</v>
      </c>
      <c r="F5" s="33" t="str">
        <f>'Monthly Tracking'!C24</f>
        <v/>
      </c>
    </row>
    <row r="6" spans="1:6" x14ac:dyDescent="0.25">
      <c r="A6" t="s">
        <v>48</v>
      </c>
      <c r="B6" s="32">
        <v>0</v>
      </c>
      <c r="C6" s="33">
        <f>'Monthly Tracking'!D7</f>
        <v>0</v>
      </c>
      <c r="D6" s="33">
        <f>'Monthly Tracking'!D14</f>
        <v>0</v>
      </c>
      <c r="E6" s="33">
        <f>'Monthly Tracking'!D19</f>
        <v>0</v>
      </c>
      <c r="F6" s="33" t="str">
        <f>'Monthly Tracking'!D24</f>
        <v/>
      </c>
    </row>
    <row r="7" spans="1:6" x14ac:dyDescent="0.25">
      <c r="A7" t="s">
        <v>49</v>
      </c>
      <c r="B7" s="32">
        <v>0.06</v>
      </c>
      <c r="C7" s="33">
        <f>'Monthly Tracking'!E7</f>
        <v>0</v>
      </c>
      <c r="D7" s="33">
        <f>'Monthly Tracking'!E14</f>
        <v>0</v>
      </c>
      <c r="E7" s="33">
        <f>'Monthly Tracking'!E19</f>
        <v>0</v>
      </c>
      <c r="F7" s="33" t="str">
        <f>'Monthly Tracking'!E24</f>
        <v/>
      </c>
    </row>
    <row r="8" spans="1:6" x14ac:dyDescent="0.25">
      <c r="A8" t="s">
        <v>50</v>
      </c>
      <c r="B8" s="32">
        <v>0.11</v>
      </c>
      <c r="C8" s="33">
        <f>'Monthly Tracking'!F7</f>
        <v>0</v>
      </c>
      <c r="D8" s="33">
        <f>'Monthly Tracking'!F14</f>
        <v>0</v>
      </c>
      <c r="E8" s="33">
        <f>'Monthly Tracking'!F19</f>
        <v>0</v>
      </c>
      <c r="F8" s="33" t="str">
        <f>'Monthly Tracking'!F24</f>
        <v/>
      </c>
    </row>
    <row r="9" spans="1:6" x14ac:dyDescent="0.25">
      <c r="A9" t="s">
        <v>51</v>
      </c>
      <c r="B9" s="32">
        <v>0.28999999999999998</v>
      </c>
      <c r="C9" s="33">
        <f>'Monthly Tracking'!G7</f>
        <v>0</v>
      </c>
      <c r="D9" s="33">
        <f>'Monthly Tracking'!G14</f>
        <v>0</v>
      </c>
      <c r="E9" s="33">
        <f>'Monthly Tracking'!G19</f>
        <v>0</v>
      </c>
      <c r="F9" s="33" t="str">
        <f>'Monthly Tracking'!G24</f>
        <v/>
      </c>
    </row>
    <row r="10" spans="1:6" x14ac:dyDescent="0.25">
      <c r="A10" t="s">
        <v>52</v>
      </c>
      <c r="B10" s="32">
        <v>0.44</v>
      </c>
      <c r="C10" s="33">
        <f>'Monthly Tracking'!H7</f>
        <v>0</v>
      </c>
      <c r="D10" s="33">
        <f>'Monthly Tracking'!H14</f>
        <v>0</v>
      </c>
      <c r="E10" s="33">
        <f>'Monthly Tracking'!H19</f>
        <v>0</v>
      </c>
      <c r="F10" s="33" t="str">
        <f>'Monthly Tracking'!H24</f>
        <v/>
      </c>
    </row>
    <row r="11" spans="1:6" x14ac:dyDescent="0.25">
      <c r="A11" t="s">
        <v>53</v>
      </c>
      <c r="B11" s="32">
        <v>0.52</v>
      </c>
      <c r="C11" s="33">
        <f>'Monthly Tracking'!I7</f>
        <v>0</v>
      </c>
      <c r="D11" s="33">
        <f>'Monthly Tracking'!I14</f>
        <v>0</v>
      </c>
      <c r="E11" s="33">
        <f>'Monthly Tracking'!I19</f>
        <v>0</v>
      </c>
      <c r="F11" s="33" t="str">
        <f>'Monthly Tracking'!I24</f>
        <v/>
      </c>
    </row>
    <row r="12" spans="1:6" x14ac:dyDescent="0.25">
      <c r="A12" t="s">
        <v>54</v>
      </c>
      <c r="B12" s="32">
        <v>0.57999999999999996</v>
      </c>
      <c r="C12" s="33">
        <f>'Monthly Tracking'!J7</f>
        <v>0</v>
      </c>
      <c r="D12" s="33">
        <f>'Monthly Tracking'!J14</f>
        <v>0</v>
      </c>
      <c r="E12" s="33">
        <f>'Monthly Tracking'!J19</f>
        <v>0</v>
      </c>
      <c r="F12" s="33" t="str">
        <f>'Monthly Tracking'!J24</f>
        <v/>
      </c>
    </row>
    <row r="13" spans="1:6" x14ac:dyDescent="0.25">
      <c r="A13" t="s">
        <v>55</v>
      </c>
      <c r="B13" s="32">
        <v>0.57999999999999996</v>
      </c>
      <c r="C13" s="33">
        <f>'Monthly Tracking'!K7</f>
        <v>0</v>
      </c>
      <c r="D13" s="33">
        <f>'Monthly Tracking'!K14</f>
        <v>0</v>
      </c>
      <c r="E13" s="33">
        <f>'Monthly Tracking'!K19</f>
        <v>0</v>
      </c>
      <c r="F13" s="33" t="str">
        <f>'Monthly Tracking'!K24</f>
        <v/>
      </c>
    </row>
    <row r="14" spans="1:6" x14ac:dyDescent="0.25">
      <c r="A14" t="s">
        <v>56</v>
      </c>
      <c r="B14" s="32">
        <v>0.57999999999999996</v>
      </c>
      <c r="C14" s="33">
        <f>'Monthly Tracking'!L7</f>
        <v>0</v>
      </c>
      <c r="D14" s="33">
        <f>'Monthly Tracking'!L14</f>
        <v>0</v>
      </c>
      <c r="E14" s="33">
        <f>'Monthly Tracking'!L19</f>
        <v>0</v>
      </c>
      <c r="F14" s="33" t="str">
        <f>'Monthly Tracking'!L24</f>
        <v/>
      </c>
    </row>
    <row r="15" spans="1:6" x14ac:dyDescent="0.25">
      <c r="A15" t="s">
        <v>57</v>
      </c>
      <c r="B15" s="32">
        <v>0.57999999999999996</v>
      </c>
      <c r="C15" s="33">
        <f>'Monthly Tracking'!M7</f>
        <v>0</v>
      </c>
      <c r="D15" s="33">
        <f>'Monthly Tracking'!M14</f>
        <v>0</v>
      </c>
      <c r="E15" s="33">
        <f>'Monthly Tracking'!M19</f>
        <v>0</v>
      </c>
      <c r="F15" s="33" t="str">
        <f>'Monthly Tracking'!M24</f>
        <v/>
      </c>
    </row>
    <row r="16" spans="1:6" x14ac:dyDescent="0.25">
      <c r="A16" t="s">
        <v>58</v>
      </c>
      <c r="B16" s="32">
        <v>0.71</v>
      </c>
      <c r="C16" s="33">
        <f>'Monthly Tracking'!N7</f>
        <v>0</v>
      </c>
      <c r="D16" s="33">
        <f>'Monthly Tracking'!N14</f>
        <v>0</v>
      </c>
      <c r="E16" s="33">
        <f>'Monthly Tracking'!N19</f>
        <v>0</v>
      </c>
      <c r="F16" s="33" t="str">
        <f>'Monthly Tracking'!N24</f>
        <v/>
      </c>
    </row>
    <row r="17" spans="1:6" x14ac:dyDescent="0.25">
      <c r="A17" t="s">
        <v>59</v>
      </c>
      <c r="B17" s="32">
        <v>0.83</v>
      </c>
      <c r="C17" s="33">
        <f>'Monthly Tracking'!O7</f>
        <v>0</v>
      </c>
      <c r="D17" s="33">
        <f>'Monthly Tracking'!O14</f>
        <v>0</v>
      </c>
      <c r="E17" s="33">
        <f>'Monthly Tracking'!O19</f>
        <v>0</v>
      </c>
      <c r="F17" s="33" t="str">
        <f>'Monthly Tracking'!O24</f>
        <v/>
      </c>
    </row>
    <row r="18" spans="1:6" x14ac:dyDescent="0.25">
      <c r="A18" t="s">
        <v>60</v>
      </c>
      <c r="B18" s="32">
        <v>0.84</v>
      </c>
      <c r="C18" s="33">
        <f>'Monthly Tracking'!P7</f>
        <v>0</v>
      </c>
      <c r="D18" s="33">
        <f>'Monthly Tracking'!P14</f>
        <v>0</v>
      </c>
      <c r="E18" s="33">
        <f>'Monthly Tracking'!P19</f>
        <v>0</v>
      </c>
      <c r="F18" s="33" t="str">
        <f>'Monthly Tracking'!P24</f>
        <v/>
      </c>
    </row>
    <row r="22" spans="1:6" x14ac:dyDescent="0.25">
      <c r="A22" t="s">
        <v>71</v>
      </c>
    </row>
    <row r="23" spans="1:6" x14ac:dyDescent="0.25">
      <c r="A23" s="4" t="s">
        <v>5</v>
      </c>
      <c r="B23" s="4" t="s">
        <v>8</v>
      </c>
    </row>
    <row r="24" spans="1:6" x14ac:dyDescent="0.25">
      <c r="A24" t="s">
        <v>72</v>
      </c>
      <c r="B24" s="33">
        <v>3.6544890471871497E-2</v>
      </c>
    </row>
    <row r="25" spans="1:6" x14ac:dyDescent="0.25">
      <c r="A25" t="s">
        <v>14</v>
      </c>
      <c r="B25" s="33">
        <v>0</v>
      </c>
    </row>
    <row r="26" spans="1:6" x14ac:dyDescent="0.25">
      <c r="A26" t="s">
        <v>16</v>
      </c>
      <c r="B26" s="33"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5"/>
  <sheetViews>
    <sheetView zoomScaleNormal="100" workbookViewId="0">
      <selection activeCell="C55" sqref="C55"/>
    </sheetView>
  </sheetViews>
  <sheetFormatPr defaultColWidth="8.7109375" defaultRowHeight="15" x14ac:dyDescent="0.25"/>
  <cols>
    <col min="1" max="1" width="18" customWidth="1"/>
    <col min="2" max="2" width="55" customWidth="1"/>
    <col min="3" max="3" width="18" customWidth="1"/>
    <col min="4" max="4" width="35" customWidth="1"/>
    <col min="5" max="5" width="15" customWidth="1"/>
    <col min="6" max="6" width="25" customWidth="1"/>
  </cols>
  <sheetData>
    <row r="1" spans="1:6" ht="18" x14ac:dyDescent="0.25">
      <c r="A1" s="34" t="s">
        <v>73</v>
      </c>
    </row>
    <row r="2" spans="1:6" x14ac:dyDescent="0.25">
      <c r="A2" s="35" t="s">
        <v>74</v>
      </c>
    </row>
    <row r="4" spans="1:6" x14ac:dyDescent="0.25">
      <c r="A4" s="21" t="s">
        <v>5</v>
      </c>
      <c r="B4" s="21" t="s">
        <v>21</v>
      </c>
      <c r="C4" s="21" t="s">
        <v>22</v>
      </c>
      <c r="D4" s="21" t="s">
        <v>75</v>
      </c>
      <c r="E4" s="21" t="s">
        <v>76</v>
      </c>
      <c r="F4" s="21" t="s">
        <v>23</v>
      </c>
    </row>
    <row r="5" spans="1:6" x14ac:dyDescent="0.25">
      <c r="A5" s="36" t="s">
        <v>77</v>
      </c>
      <c r="B5" s="36" t="s">
        <v>24</v>
      </c>
      <c r="C5" s="36" t="s">
        <v>25</v>
      </c>
      <c r="D5" s="36" t="s">
        <v>78</v>
      </c>
      <c r="E5" s="37">
        <v>5749433</v>
      </c>
      <c r="F5" s="36" t="s">
        <v>26</v>
      </c>
    </row>
    <row r="6" spans="1:6" x14ac:dyDescent="0.25">
      <c r="A6" s="6" t="s">
        <v>72</v>
      </c>
      <c r="B6" s="6" t="s">
        <v>27</v>
      </c>
      <c r="C6" s="6" t="s">
        <v>28</v>
      </c>
      <c r="D6" s="6" t="s">
        <v>27</v>
      </c>
      <c r="E6" s="7">
        <v>217484</v>
      </c>
      <c r="F6" s="6" t="s">
        <v>26</v>
      </c>
    </row>
    <row r="7" spans="1:6" x14ac:dyDescent="0.25">
      <c r="A7" s="6" t="s">
        <v>72</v>
      </c>
      <c r="B7" s="6" t="s">
        <v>29</v>
      </c>
      <c r="C7" s="6" t="s">
        <v>28</v>
      </c>
      <c r="D7" s="6" t="s">
        <v>29</v>
      </c>
      <c r="E7" s="7">
        <v>183545</v>
      </c>
      <c r="F7" s="6" t="s">
        <v>26</v>
      </c>
    </row>
    <row r="8" spans="1:6" x14ac:dyDescent="0.25">
      <c r="A8" s="6" t="s">
        <v>72</v>
      </c>
      <c r="B8" s="6" t="s">
        <v>30</v>
      </c>
      <c r="C8" s="6" t="s">
        <v>28</v>
      </c>
      <c r="D8" s="6" t="s">
        <v>30</v>
      </c>
      <c r="E8" s="7">
        <v>118127</v>
      </c>
      <c r="F8" s="6" t="s">
        <v>26</v>
      </c>
    </row>
    <row r="9" spans="1:6" x14ac:dyDescent="0.25">
      <c r="A9" s="6" t="s">
        <v>72</v>
      </c>
      <c r="B9" s="6" t="s">
        <v>31</v>
      </c>
      <c r="C9" s="6" t="s">
        <v>28</v>
      </c>
      <c r="D9" s="6" t="s">
        <v>31</v>
      </c>
      <c r="E9" s="7">
        <v>106071</v>
      </c>
      <c r="F9" s="6" t="s">
        <v>26</v>
      </c>
    </row>
    <row r="10" spans="1:6" x14ac:dyDescent="0.25">
      <c r="A10" s="6" t="s">
        <v>72</v>
      </c>
      <c r="B10" s="6" t="s">
        <v>32</v>
      </c>
      <c r="C10" s="6" t="s">
        <v>28</v>
      </c>
      <c r="D10" s="6" t="s">
        <v>32</v>
      </c>
      <c r="E10" s="7">
        <v>105276</v>
      </c>
      <c r="F10" s="6" t="s">
        <v>26</v>
      </c>
    </row>
    <row r="11" spans="1:6" x14ac:dyDescent="0.25">
      <c r="A11" s="6" t="s">
        <v>72</v>
      </c>
      <c r="B11" s="6" t="s">
        <v>33</v>
      </c>
      <c r="C11" s="6" t="s">
        <v>28</v>
      </c>
      <c r="D11" s="6" t="s">
        <v>33</v>
      </c>
      <c r="E11" s="7">
        <v>91117</v>
      </c>
      <c r="F11" s="6" t="s">
        <v>26</v>
      </c>
    </row>
    <row r="12" spans="1:6" x14ac:dyDescent="0.25">
      <c r="A12" s="6" t="s">
        <v>72</v>
      </c>
      <c r="B12" s="6" t="s">
        <v>34</v>
      </c>
      <c r="C12" s="6" t="s">
        <v>28</v>
      </c>
      <c r="D12" s="6" t="s">
        <v>34</v>
      </c>
      <c r="E12" s="7">
        <v>41806</v>
      </c>
      <c r="F12" s="6" t="s">
        <v>26</v>
      </c>
    </row>
    <row r="13" spans="1:6" x14ac:dyDescent="0.25">
      <c r="A13" s="6" t="s">
        <v>72</v>
      </c>
      <c r="B13" s="6" t="s">
        <v>35</v>
      </c>
      <c r="C13" s="6" t="s">
        <v>28</v>
      </c>
      <c r="D13" s="6" t="s">
        <v>35</v>
      </c>
      <c r="E13" s="7">
        <v>21372</v>
      </c>
      <c r="F13" s="6" t="s">
        <v>26</v>
      </c>
    </row>
    <row r="14" spans="1:6" x14ac:dyDescent="0.25">
      <c r="A14" s="6" t="s">
        <v>72</v>
      </c>
      <c r="B14" s="6" t="s">
        <v>36</v>
      </c>
      <c r="C14" s="6" t="s">
        <v>28</v>
      </c>
      <c r="D14" s="6" t="s">
        <v>36</v>
      </c>
      <c r="E14" s="7">
        <v>20367</v>
      </c>
      <c r="F14" s="6" t="s">
        <v>26</v>
      </c>
    </row>
    <row r="15" spans="1:6" x14ac:dyDescent="0.25">
      <c r="A15" s="6" t="s">
        <v>72</v>
      </c>
      <c r="B15" s="6" t="s">
        <v>37</v>
      </c>
      <c r="C15" s="6" t="s">
        <v>28</v>
      </c>
      <c r="D15" s="6" t="s">
        <v>37</v>
      </c>
      <c r="E15" s="7">
        <v>17009</v>
      </c>
      <c r="F15" s="6" t="s">
        <v>26</v>
      </c>
    </row>
    <row r="16" spans="1:6" x14ac:dyDescent="0.25">
      <c r="A16" s="6" t="s">
        <v>72</v>
      </c>
      <c r="B16" s="6" t="s">
        <v>38</v>
      </c>
      <c r="C16" s="6" t="s">
        <v>28</v>
      </c>
      <c r="D16" s="6" t="s">
        <v>38</v>
      </c>
      <c r="E16" s="7">
        <v>16004</v>
      </c>
      <c r="F16" s="6" t="s">
        <v>26</v>
      </c>
    </row>
    <row r="17" spans="1:6" x14ac:dyDescent="0.25">
      <c r="A17" s="6" t="s">
        <v>72</v>
      </c>
      <c r="B17" s="6" t="s">
        <v>39</v>
      </c>
      <c r="C17" s="6" t="s">
        <v>28</v>
      </c>
      <c r="D17" s="6" t="s">
        <v>39</v>
      </c>
      <c r="E17" s="7">
        <v>13977.350185248401</v>
      </c>
      <c r="F17" s="6" t="s">
        <v>26</v>
      </c>
    </row>
    <row r="18" spans="1:6" x14ac:dyDescent="0.25">
      <c r="A18" s="6" t="s">
        <v>72</v>
      </c>
      <c r="B18" s="6" t="s">
        <v>40</v>
      </c>
      <c r="C18" s="6" t="s">
        <v>28</v>
      </c>
      <c r="D18" s="6" t="s">
        <v>40</v>
      </c>
      <c r="E18" s="7">
        <v>13631</v>
      </c>
      <c r="F18" s="6" t="s">
        <v>26</v>
      </c>
    </row>
    <row r="19" spans="1:6" x14ac:dyDescent="0.25">
      <c r="A19" s="6" t="s">
        <v>72</v>
      </c>
      <c r="B19" s="6" t="s">
        <v>41</v>
      </c>
      <c r="C19" s="6" t="s">
        <v>28</v>
      </c>
      <c r="D19" s="6" t="s">
        <v>41</v>
      </c>
      <c r="E19" s="7">
        <v>13074</v>
      </c>
      <c r="F19" s="6" t="s">
        <v>26</v>
      </c>
    </row>
    <row r="20" spans="1:6" x14ac:dyDescent="0.25">
      <c r="A20" s="6" t="s">
        <v>72</v>
      </c>
      <c r="B20" s="6" t="s">
        <v>79</v>
      </c>
      <c r="C20" s="6" t="s">
        <v>28</v>
      </c>
      <c r="D20" s="6" t="s">
        <v>79</v>
      </c>
      <c r="E20" s="7">
        <v>12616</v>
      </c>
      <c r="F20" s="6" t="s">
        <v>26</v>
      </c>
    </row>
    <row r="21" spans="1:6" x14ac:dyDescent="0.25">
      <c r="A21" s="6" t="s">
        <v>72</v>
      </c>
      <c r="B21" s="6" t="s">
        <v>80</v>
      </c>
      <c r="C21" s="6" t="s">
        <v>28</v>
      </c>
      <c r="D21" s="6" t="s">
        <v>80</v>
      </c>
      <c r="E21" s="7">
        <v>12593</v>
      </c>
      <c r="F21" s="6" t="s">
        <v>26</v>
      </c>
    </row>
    <row r="22" spans="1:6" x14ac:dyDescent="0.25">
      <c r="A22" s="6" t="s">
        <v>72</v>
      </c>
      <c r="B22" s="6" t="s">
        <v>81</v>
      </c>
      <c r="C22" s="6" t="s">
        <v>28</v>
      </c>
      <c r="D22" s="6" t="s">
        <v>81</v>
      </c>
      <c r="E22" s="7">
        <v>12076</v>
      </c>
      <c r="F22" s="6" t="s">
        <v>26</v>
      </c>
    </row>
    <row r="23" spans="1:6" x14ac:dyDescent="0.25">
      <c r="A23" s="6" t="s">
        <v>72</v>
      </c>
      <c r="B23" s="6" t="s">
        <v>82</v>
      </c>
      <c r="C23" s="6" t="s">
        <v>28</v>
      </c>
      <c r="D23" s="6" t="s">
        <v>82</v>
      </c>
      <c r="E23" s="7">
        <v>9149</v>
      </c>
      <c r="F23" s="6" t="s">
        <v>26</v>
      </c>
    </row>
    <row r="24" spans="1:6" x14ac:dyDescent="0.25">
      <c r="A24" s="6" t="s">
        <v>72</v>
      </c>
      <c r="B24" s="6" t="s">
        <v>83</v>
      </c>
      <c r="C24" s="6" t="s">
        <v>28</v>
      </c>
      <c r="D24" s="6" t="s">
        <v>84</v>
      </c>
      <c r="E24" s="7">
        <v>6216</v>
      </c>
      <c r="F24" s="6" t="s">
        <v>26</v>
      </c>
    </row>
    <row r="25" spans="1:6" x14ac:dyDescent="0.25">
      <c r="A25" s="6" t="s">
        <v>72</v>
      </c>
      <c r="B25" s="6" t="s">
        <v>85</v>
      </c>
      <c r="C25" s="6" t="s">
        <v>28</v>
      </c>
      <c r="D25" s="6" t="s">
        <v>85</v>
      </c>
      <c r="E25" s="7">
        <v>6121</v>
      </c>
      <c r="F25" s="6" t="s">
        <v>26</v>
      </c>
    </row>
    <row r="26" spans="1:6" x14ac:dyDescent="0.25">
      <c r="A26" s="6" t="s">
        <v>72</v>
      </c>
      <c r="B26" s="6" t="s">
        <v>86</v>
      </c>
      <c r="C26" s="6" t="s">
        <v>28</v>
      </c>
      <c r="D26" s="6" t="s">
        <v>86</v>
      </c>
      <c r="E26" s="7">
        <v>5602</v>
      </c>
      <c r="F26" s="6" t="s">
        <v>26</v>
      </c>
    </row>
    <row r="27" spans="1:6" x14ac:dyDescent="0.25">
      <c r="A27" s="6" t="s">
        <v>72</v>
      </c>
      <c r="B27" s="6" t="s">
        <v>87</v>
      </c>
      <c r="C27" s="6" t="s">
        <v>28</v>
      </c>
      <c r="D27" s="6" t="s">
        <v>87</v>
      </c>
      <c r="E27" s="7">
        <v>5502</v>
      </c>
      <c r="F27" s="6" t="s">
        <v>26</v>
      </c>
    </row>
    <row r="28" spans="1:6" x14ac:dyDescent="0.25">
      <c r="A28" s="6" t="s">
        <v>72</v>
      </c>
      <c r="B28" s="6" t="s">
        <v>88</v>
      </c>
      <c r="C28" s="6" t="s">
        <v>28</v>
      </c>
      <c r="D28" s="6" t="s">
        <v>88</v>
      </c>
      <c r="E28" s="7">
        <v>4737</v>
      </c>
      <c r="F28" s="6" t="s">
        <v>26</v>
      </c>
    </row>
    <row r="29" spans="1:6" x14ac:dyDescent="0.25">
      <c r="A29" s="6" t="s">
        <v>72</v>
      </c>
      <c r="B29" s="6" t="s">
        <v>89</v>
      </c>
      <c r="C29" s="6" t="s">
        <v>28</v>
      </c>
      <c r="D29" s="6" t="s">
        <v>89</v>
      </c>
      <c r="E29" s="7">
        <v>4488</v>
      </c>
      <c r="F29" s="6" t="s">
        <v>26</v>
      </c>
    </row>
    <row r="30" spans="1:6" x14ac:dyDescent="0.25">
      <c r="A30" s="6" t="s">
        <v>72</v>
      </c>
      <c r="B30" s="6" t="s">
        <v>90</v>
      </c>
      <c r="C30" s="6" t="s">
        <v>28</v>
      </c>
      <c r="D30" s="6" t="s">
        <v>90</v>
      </c>
      <c r="E30" s="7">
        <v>2889</v>
      </c>
      <c r="F30" s="6" t="s">
        <v>26</v>
      </c>
    </row>
    <row r="31" spans="1:6" x14ac:dyDescent="0.25">
      <c r="A31" s="6" t="s">
        <v>72</v>
      </c>
      <c r="B31" s="6" t="s">
        <v>91</v>
      </c>
      <c r="C31" s="6" t="s">
        <v>28</v>
      </c>
      <c r="D31" s="6" t="s">
        <v>91</v>
      </c>
      <c r="E31" s="7">
        <v>2600</v>
      </c>
      <c r="F31" s="6" t="s">
        <v>26</v>
      </c>
    </row>
    <row r="32" spans="1:6" x14ac:dyDescent="0.25">
      <c r="A32" s="6" t="s">
        <v>72</v>
      </c>
      <c r="B32" s="6" t="s">
        <v>92</v>
      </c>
      <c r="C32" s="6" t="s">
        <v>28</v>
      </c>
      <c r="D32" s="6" t="s">
        <v>92</v>
      </c>
      <c r="E32" s="7">
        <v>1452</v>
      </c>
      <c r="F32" s="6" t="s">
        <v>26</v>
      </c>
    </row>
    <row r="33" spans="1:6" x14ac:dyDescent="0.25">
      <c r="A33" s="6" t="s">
        <v>72</v>
      </c>
      <c r="B33" s="6" t="s">
        <v>93</v>
      </c>
      <c r="C33" s="6" t="s">
        <v>72</v>
      </c>
      <c r="D33" s="6" t="s">
        <v>94</v>
      </c>
      <c r="E33" s="7">
        <v>1166</v>
      </c>
      <c r="F33" s="6" t="s">
        <v>95</v>
      </c>
    </row>
    <row r="34" spans="1:6" x14ac:dyDescent="0.25">
      <c r="A34" s="6" t="s">
        <v>72</v>
      </c>
      <c r="B34" s="6" t="s">
        <v>96</v>
      </c>
      <c r="C34" s="6" t="s">
        <v>28</v>
      </c>
      <c r="D34" s="6" t="s">
        <v>96</v>
      </c>
      <c r="E34" s="7">
        <v>575</v>
      </c>
      <c r="F34" s="6" t="s">
        <v>26</v>
      </c>
    </row>
    <row r="35" spans="1:6" x14ac:dyDescent="0.25">
      <c r="A35" s="6" t="s">
        <v>72</v>
      </c>
      <c r="B35" s="6" t="s">
        <v>97</v>
      </c>
      <c r="C35" s="6" t="s">
        <v>98</v>
      </c>
      <c r="D35" s="6" t="s">
        <v>99</v>
      </c>
      <c r="E35" s="7">
        <v>0</v>
      </c>
      <c r="F35" s="6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6"/>
  <sheetViews>
    <sheetView zoomScaleNormal="100" workbookViewId="0"/>
  </sheetViews>
  <sheetFormatPr defaultColWidth="8.7109375" defaultRowHeight="15" x14ac:dyDescent="0.25"/>
  <cols>
    <col min="1" max="1" width="25" customWidth="1"/>
    <col min="2" max="2" width="20" customWidth="1"/>
    <col min="3" max="3" width="55" customWidth="1"/>
  </cols>
  <sheetData>
    <row r="1" spans="1:3" ht="18" x14ac:dyDescent="0.25">
      <c r="A1" s="34" t="s">
        <v>100</v>
      </c>
    </row>
    <row r="3" spans="1:3" x14ac:dyDescent="0.25">
      <c r="A3" s="21" t="s">
        <v>5</v>
      </c>
      <c r="B3" s="21" t="s">
        <v>101</v>
      </c>
      <c r="C3" s="21" t="s">
        <v>9</v>
      </c>
    </row>
    <row r="4" spans="1:3" x14ac:dyDescent="0.25">
      <c r="A4" s="6" t="s">
        <v>72</v>
      </c>
      <c r="B4" s="6" t="s">
        <v>102</v>
      </c>
      <c r="C4" s="6" t="s">
        <v>103</v>
      </c>
    </row>
    <row r="5" spans="1:3" x14ac:dyDescent="0.25">
      <c r="A5" s="6" t="s">
        <v>14</v>
      </c>
      <c r="B5" s="6" t="s">
        <v>104</v>
      </c>
      <c r="C5" s="6" t="s">
        <v>105</v>
      </c>
    </row>
    <row r="6" spans="1:3" x14ac:dyDescent="0.25">
      <c r="A6" s="6" t="s">
        <v>16</v>
      </c>
      <c r="B6" s="6" t="s">
        <v>106</v>
      </c>
      <c r="C6" s="6" t="s">
        <v>107</v>
      </c>
    </row>
    <row r="9" spans="1:3" ht="15.75" x14ac:dyDescent="0.25">
      <c r="A9" s="38" t="s">
        <v>108</v>
      </c>
    </row>
    <row r="10" spans="1:3" x14ac:dyDescent="0.25">
      <c r="A10" s="21" t="s">
        <v>109</v>
      </c>
      <c r="B10" s="21" t="s">
        <v>110</v>
      </c>
      <c r="C10" s="21" t="s">
        <v>111</v>
      </c>
    </row>
    <row r="11" spans="1:3" x14ac:dyDescent="0.25">
      <c r="A11" s="6" t="s">
        <v>26</v>
      </c>
      <c r="B11" s="6" t="s">
        <v>112</v>
      </c>
      <c r="C11" s="6" t="s">
        <v>113</v>
      </c>
    </row>
    <row r="12" spans="1:3" x14ac:dyDescent="0.25">
      <c r="A12" s="6" t="s">
        <v>95</v>
      </c>
      <c r="B12" s="6" t="s">
        <v>112</v>
      </c>
      <c r="C12" s="6" t="s">
        <v>114</v>
      </c>
    </row>
    <row r="13" spans="1:3" x14ac:dyDescent="0.25">
      <c r="A13" s="6" t="s">
        <v>115</v>
      </c>
      <c r="B13" s="6" t="s">
        <v>116</v>
      </c>
      <c r="C13" s="6" t="s">
        <v>117</v>
      </c>
    </row>
    <row r="14" spans="1:3" x14ac:dyDescent="0.25">
      <c r="A14" s="6" t="s">
        <v>118</v>
      </c>
      <c r="B14" s="6" t="s">
        <v>116</v>
      </c>
      <c r="C14" s="6" t="s">
        <v>119</v>
      </c>
    </row>
    <row r="15" spans="1:3" x14ac:dyDescent="0.25">
      <c r="A15" s="6" t="s">
        <v>120</v>
      </c>
      <c r="B15" s="6" t="s">
        <v>116</v>
      </c>
      <c r="C15" s="6" t="s">
        <v>121</v>
      </c>
    </row>
    <row r="16" spans="1:3" x14ac:dyDescent="0.25">
      <c r="A16" s="6" t="s">
        <v>122</v>
      </c>
      <c r="B16" s="6" t="s">
        <v>116</v>
      </c>
      <c r="C16" s="6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Monthly Tracking</vt:lpstr>
      <vt:lpstr>Charts</vt:lpstr>
      <vt:lpstr>Plan Detail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Joseph Ferrante</cp:lastModifiedBy>
  <cp:revision>1</cp:revision>
  <dcterms:created xsi:type="dcterms:W3CDTF">2026-01-20T17:47:45Z</dcterms:created>
  <dcterms:modified xsi:type="dcterms:W3CDTF">2026-01-20T17:50:42Z</dcterms:modified>
  <dc:language>en-US</dc:language>
</cp:coreProperties>
</file>