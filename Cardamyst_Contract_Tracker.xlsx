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ilestonepharma-my.sharepoint.com/personal/jferrante_milestonepharma_com/Documents/Lives Tracking/"/>
    </mc:Choice>
  </mc:AlternateContent>
  <xr:revisionPtr revIDLastSave="30" documentId="8_{2B1032D7-F140-49B8-B3A4-55A39339268B}" xr6:coauthVersionLast="47" xr6:coauthVersionMax="47" xr10:uidLastSave="{4E9328F0-6EF7-4E1E-9D47-61526C257B65}"/>
  <bookViews>
    <workbookView xWindow="-120" yWindow="-120" windowWidth="51840" windowHeight="21120" tabRatio="500" xr2:uid="{00000000-000D-0000-FFFF-FFFF00000000}"/>
  </bookViews>
  <sheets>
    <sheet name="Contract Status" sheetId="1" r:id="rId1"/>
    <sheet name="Offer History" sheetId="2" r:id="rId2"/>
    <sheet name="Rate Comparison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3" i="1" l="1"/>
  <c r="H12" i="1"/>
  <c r="H11" i="1"/>
  <c r="H10" i="1"/>
  <c r="H9" i="1"/>
  <c r="H8" i="1"/>
  <c r="H7" i="1"/>
  <c r="H6" i="1"/>
  <c r="G12" i="5"/>
  <c r="G11" i="5"/>
  <c r="G10" i="5"/>
  <c r="G9" i="5"/>
  <c r="G8" i="5"/>
  <c r="G7" i="5"/>
  <c r="G6" i="5"/>
  <c r="G5" i="5"/>
</calcChain>
</file>

<file path=xl/sharedStrings.xml><?xml version="1.0" encoding="utf-8"?>
<sst xmlns="http://schemas.openxmlformats.org/spreadsheetml/2006/main" count="199" uniqueCount="79">
  <si>
    <t>Managed Care Contract &amp; Bid Tracker</t>
  </si>
  <si>
    <t>Cardamyst (etripamil)</t>
  </si>
  <si>
    <t>Last Updated: January 20, 2026</t>
  </si>
  <si>
    <t>Payer</t>
  </si>
  <si>
    <t>Segment</t>
  </si>
  <si>
    <t>Contract Period</t>
  </si>
  <si>
    <t>Base Rebate</t>
  </si>
  <si>
    <t>Admin Fee</t>
  </si>
  <si>
    <t>Data/Portal Fee</t>
  </si>
  <si>
    <t>Price Protection</t>
  </si>
  <si>
    <t>Total Fees</t>
  </si>
  <si>
    <t>Status</t>
  </si>
  <si>
    <t>Last Action Date</t>
  </si>
  <si>
    <t>Next Action</t>
  </si>
  <si>
    <t>Notes</t>
  </si>
  <si>
    <t>CVS Caremark</t>
  </si>
  <si>
    <t>Medicare Part D</t>
  </si>
  <si>
    <t>2027 (eff. 2026)</t>
  </si>
  <si>
    <t>5%</t>
  </si>
  <si>
    <t>4%</t>
  </si>
  <si>
    <t>1.5%</t>
  </si>
  <si>
    <t>Submitted</t>
  </si>
  <si>
    <t>Express Scripts</t>
  </si>
  <si>
    <t>2026-2027</t>
  </si>
  <si>
    <t>0%</t>
  </si>
  <si>
    <t>Signed</t>
  </si>
  <si>
    <t>Government</t>
  </si>
  <si>
    <t>None</t>
  </si>
  <si>
    <t>Ascent Health</t>
  </si>
  <si>
    <t>Commercial</t>
  </si>
  <si>
    <t>3%</t>
  </si>
  <si>
    <t>2.5%</t>
  </si>
  <si>
    <t>4% (75/25)</t>
  </si>
  <si>
    <t>Emisar</t>
  </si>
  <si>
    <t>10%</t>
  </si>
  <si>
    <t>Counter Submitted</t>
  </si>
  <si>
    <t>Initial 5% countered at 50%; resubmitted at 10%</t>
  </si>
  <si>
    <t>Zinc Health</t>
  </si>
  <si>
    <t>4.5%</t>
  </si>
  <si>
    <t>OptumRx</t>
  </si>
  <si>
    <t>2026</t>
  </si>
  <si>
    <t>Humana</t>
  </si>
  <si>
    <t>2027</t>
  </si>
  <si>
    <t>15%</t>
  </si>
  <si>
    <t>Status Legend:</t>
  </si>
  <si>
    <t>Submitted/Counter</t>
  </si>
  <si>
    <t>Pending/Review</t>
  </si>
  <si>
    <t>Yellow = Input cells</t>
  </si>
  <si>
    <t>Contract Offer History &amp; Iterations</t>
  </si>
  <si>
    <t>Version</t>
  </si>
  <si>
    <t>Data/Portal</t>
  </si>
  <si>
    <t>Total</t>
  </si>
  <si>
    <t>Offer Type</t>
  </si>
  <si>
    <t>Response Date</t>
  </si>
  <si>
    <t>Counter Terms</t>
  </si>
  <si>
    <t>v1</t>
  </si>
  <si>
    <t>Initial Offer</t>
  </si>
  <si>
    <t>2024-10-15</t>
  </si>
  <si>
    <t>Counter: 50% rebate</t>
  </si>
  <si>
    <t>Rejected - too high</t>
  </si>
  <si>
    <t>v2</t>
  </si>
  <si>
    <t>20%</t>
  </si>
  <si>
    <t>Counter Offer</t>
  </si>
  <si>
    <t>Resubmitted per guidance</t>
  </si>
  <si>
    <t>ESI</t>
  </si>
  <si>
    <t>2024-09-30</t>
  </si>
  <si>
    <t>Accepted as submitted</t>
  </si>
  <si>
    <t>14%</t>
  </si>
  <si>
    <t>2024-08-20</t>
  </si>
  <si>
    <t>Counter: Data fee 2.5%</t>
  </si>
  <si>
    <t>13.5%</t>
  </si>
  <si>
    <t>Revised Offer</t>
  </si>
  <si>
    <t>2024-09-05</t>
  </si>
  <si>
    <t>Accepted</t>
  </si>
  <si>
    <t>Rebate &amp; Fee Rate Comparison by Payer</t>
  </si>
  <si>
    <t>Data Fee</t>
  </si>
  <si>
    <t>Total Concessions</t>
  </si>
  <si>
    <t>Data fee adjusted from 3% to 2.5% likely will amend back to 3%</t>
  </si>
  <si>
    <t>Includes Managed Medicaid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</si>
</sst>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sz val="10"/>
      <name val="Arial"/>
    </font>
    <font>
      <b/>
      <sz val="18"/>
      <name val="Cambria"/>
      <charset val="1"/>
    </font>
    <font>
      <i/>
      <sz val="12"/>
      <name val="Cambria"/>
      <charset val="1"/>
    </font>
    <font>
      <sz val="10"/>
      <color rgb="FF666666"/>
      <name val="Cambria"/>
      <charset val="1"/>
    </font>
    <font>
      <b/>
      <sz val="12"/>
      <color rgb="FFFFFFFF"/>
      <name val="Cambria"/>
      <charset val="1"/>
    </font>
    <font>
      <b/>
      <sz val="11"/>
      <name val="Cambria"/>
      <charset val="1"/>
    </font>
    <font>
      <b/>
      <sz val="16"/>
      <name val="Cambria"/>
      <charset val="1"/>
    </font>
    <font>
      <i/>
      <sz val="10"/>
      <color rgb="FF666666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FFEB9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6DCE4"/>
      </patternFill>
    </fill>
    <fill>
      <patternFill patternType="solid">
        <fgColor rgb="FFFFC7CE"/>
        <bgColor rgb="FFD6DCE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/>
    <xf numFmtId="0" fontId="6" fillId="0" borderId="0" xfId="0" applyFont="1"/>
    <xf numFmtId="0" fontId="0" fillId="5" borderId="0" xfId="0" applyFill="1"/>
    <xf numFmtId="0" fontId="0" fillId="3" borderId="0" xfId="0" applyFill="1"/>
    <xf numFmtId="0" fontId="0" fillId="6" borderId="0" xfId="0" applyFill="1"/>
    <xf numFmtId="0" fontId="0" fillId="4" borderId="0" xfId="0" applyFill="1"/>
    <xf numFmtId="0" fontId="7" fillId="0" borderId="0" xfId="0" applyFont="1"/>
    <xf numFmtId="0" fontId="8" fillId="0" borderId="0" xfId="0" applyFont="1"/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1" fillId="0" borderId="1" xfId="1" applyNumberForma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zoomScaleNormal="100" workbookViewId="0">
      <selection activeCell="L9" sqref="L9"/>
    </sheetView>
  </sheetViews>
  <sheetFormatPr defaultColWidth="8.7109375" defaultRowHeight="15" x14ac:dyDescent="0.25"/>
  <cols>
    <col min="1" max="1" width="18" customWidth="1"/>
    <col min="2" max="2" width="16" customWidth="1"/>
    <col min="3" max="3" width="18.5703125" bestFit="1" customWidth="1"/>
    <col min="4" max="4" width="15.85546875" bestFit="1" customWidth="1"/>
    <col min="5" max="5" width="10" customWidth="1"/>
    <col min="6" max="6" width="12" customWidth="1"/>
    <col min="7" max="7" width="14" customWidth="1"/>
    <col min="8" max="8" width="10" customWidth="1"/>
    <col min="9" max="9" width="18.140625" bestFit="1" customWidth="1"/>
    <col min="10" max="10" width="14" customWidth="1"/>
    <col min="11" max="11" width="13.5703125" bestFit="1" customWidth="1"/>
    <col min="12" max="12" width="58" bestFit="1" customWidth="1"/>
  </cols>
  <sheetData>
    <row r="1" spans="1:12" ht="22.5" x14ac:dyDescent="0.3">
      <c r="A1" s="1" t="s">
        <v>0</v>
      </c>
    </row>
    <row r="2" spans="1:12" ht="15.75" x14ac:dyDescent="0.25">
      <c r="A2" s="2" t="s">
        <v>1</v>
      </c>
    </row>
    <row r="3" spans="1:12" x14ac:dyDescent="0.25">
      <c r="A3" s="3" t="s">
        <v>2</v>
      </c>
    </row>
    <row r="5" spans="1:12" ht="31.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19</v>
      </c>
      <c r="H6" s="26">
        <f>D6+E6+F6</f>
        <v>0.105</v>
      </c>
      <c r="I6" s="7" t="s">
        <v>21</v>
      </c>
      <c r="J6" s="8"/>
      <c r="K6" s="8"/>
      <c r="L6" s="8"/>
    </row>
    <row r="7" spans="1:12" x14ac:dyDescent="0.25">
      <c r="A7" s="5" t="s">
        <v>22</v>
      </c>
      <c r="B7" s="6" t="s">
        <v>16</v>
      </c>
      <c r="C7" s="6" t="s">
        <v>23</v>
      </c>
      <c r="D7" s="6" t="s">
        <v>18</v>
      </c>
      <c r="E7" s="6" t="s">
        <v>18</v>
      </c>
      <c r="F7" s="6" t="s">
        <v>24</v>
      </c>
      <c r="G7" s="6" t="s">
        <v>18</v>
      </c>
      <c r="H7" s="26">
        <f>D7+E7+F7</f>
        <v>0.1</v>
      </c>
      <c r="I7" s="9" t="s">
        <v>25</v>
      </c>
      <c r="J7" s="8"/>
      <c r="K7" s="8"/>
      <c r="L7" s="8"/>
    </row>
    <row r="8" spans="1:12" x14ac:dyDescent="0.25">
      <c r="A8" s="5" t="s">
        <v>22</v>
      </c>
      <c r="B8" s="6" t="s">
        <v>26</v>
      </c>
      <c r="C8" s="6" t="s">
        <v>23</v>
      </c>
      <c r="D8" s="6" t="s">
        <v>18</v>
      </c>
      <c r="E8" s="6" t="s">
        <v>18</v>
      </c>
      <c r="F8" s="6" t="s">
        <v>24</v>
      </c>
      <c r="G8" s="6" t="s">
        <v>27</v>
      </c>
      <c r="H8" s="26">
        <f>D8+E8+F8</f>
        <v>0.1</v>
      </c>
      <c r="I8" s="9" t="s">
        <v>25</v>
      </c>
      <c r="J8" s="8"/>
      <c r="K8" s="8"/>
      <c r="L8" s="8" t="s">
        <v>78</v>
      </c>
    </row>
    <row r="9" spans="1:12" x14ac:dyDescent="0.25">
      <c r="A9" s="5" t="s">
        <v>28</v>
      </c>
      <c r="B9" s="6" t="s">
        <v>29</v>
      </c>
      <c r="C9" s="6" t="s">
        <v>23</v>
      </c>
      <c r="D9" s="6" t="s">
        <v>19</v>
      </c>
      <c r="E9" s="6" t="s">
        <v>30</v>
      </c>
      <c r="F9" s="6" t="s">
        <v>31</v>
      </c>
      <c r="G9" s="6" t="s">
        <v>32</v>
      </c>
      <c r="H9" s="26">
        <f>D9+E9+F9</f>
        <v>9.5000000000000001E-2</v>
      </c>
      <c r="I9" s="9" t="s">
        <v>25</v>
      </c>
      <c r="J9" s="8"/>
      <c r="K9" s="8"/>
      <c r="L9" s="8" t="s">
        <v>77</v>
      </c>
    </row>
    <row r="10" spans="1:12" x14ac:dyDescent="0.25">
      <c r="A10" s="5" t="s">
        <v>33</v>
      </c>
      <c r="B10" s="6" t="s">
        <v>29</v>
      </c>
      <c r="C10" s="6" t="s">
        <v>23</v>
      </c>
      <c r="D10" s="6" t="s">
        <v>34</v>
      </c>
      <c r="E10" s="6" t="s">
        <v>18</v>
      </c>
      <c r="F10" s="6" t="s">
        <v>24</v>
      </c>
      <c r="G10" s="6" t="s">
        <v>18</v>
      </c>
      <c r="H10" s="26">
        <f>D10+E10+F10</f>
        <v>0.15000000000000002</v>
      </c>
      <c r="I10" s="7" t="s">
        <v>35</v>
      </c>
      <c r="J10" s="8"/>
      <c r="K10" s="8"/>
      <c r="L10" s="8" t="s">
        <v>36</v>
      </c>
    </row>
    <row r="11" spans="1:12" x14ac:dyDescent="0.25">
      <c r="A11" s="5" t="s">
        <v>37</v>
      </c>
      <c r="B11" s="6" t="s">
        <v>29</v>
      </c>
      <c r="C11" s="6" t="s">
        <v>23</v>
      </c>
      <c r="D11" s="6" t="s">
        <v>38</v>
      </c>
      <c r="E11" s="6" t="s">
        <v>19</v>
      </c>
      <c r="F11" s="6" t="s">
        <v>20</v>
      </c>
      <c r="G11" s="6" t="s">
        <v>18</v>
      </c>
      <c r="H11" s="26">
        <f>D11+E11+F11</f>
        <v>9.9999999999999992E-2</v>
      </c>
      <c r="I11" s="7" t="s">
        <v>21</v>
      </c>
      <c r="J11" s="8"/>
      <c r="K11" s="8"/>
      <c r="L11" s="8"/>
    </row>
    <row r="12" spans="1:12" x14ac:dyDescent="0.25">
      <c r="A12" s="5" t="s">
        <v>39</v>
      </c>
      <c r="B12" s="6" t="s">
        <v>16</v>
      </c>
      <c r="C12" s="6" t="s">
        <v>40</v>
      </c>
      <c r="D12" s="6" t="s">
        <v>18</v>
      </c>
      <c r="E12" s="6" t="s">
        <v>18</v>
      </c>
      <c r="F12" s="6" t="s">
        <v>24</v>
      </c>
      <c r="G12" s="6" t="s">
        <v>18</v>
      </c>
      <c r="H12" s="26">
        <f>D12+E12+F12</f>
        <v>0.1</v>
      </c>
      <c r="I12" s="7" t="s">
        <v>21</v>
      </c>
      <c r="J12" s="8"/>
      <c r="K12" s="8"/>
      <c r="L12" s="8"/>
    </row>
    <row r="13" spans="1:12" x14ac:dyDescent="0.25">
      <c r="A13" s="5" t="s">
        <v>41</v>
      </c>
      <c r="B13" s="6" t="s">
        <v>16</v>
      </c>
      <c r="C13" s="6" t="s">
        <v>42</v>
      </c>
      <c r="D13" s="6" t="s">
        <v>43</v>
      </c>
      <c r="E13" s="6" t="s">
        <v>24</v>
      </c>
      <c r="F13" s="6" t="s">
        <v>24</v>
      </c>
      <c r="G13" s="6" t="s">
        <v>18</v>
      </c>
      <c r="H13" s="26">
        <f>D13+E13+F13</f>
        <v>0.15</v>
      </c>
      <c r="I13" s="7" t="s">
        <v>21</v>
      </c>
      <c r="J13" s="8"/>
      <c r="K13" s="8"/>
      <c r="L13" s="8"/>
    </row>
    <row r="14" spans="1:1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1"/>
      <c r="K14" s="11"/>
      <c r="L14" s="11"/>
    </row>
    <row r="15" spans="1:1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1"/>
      <c r="K15" s="11"/>
      <c r="L15" s="11"/>
    </row>
    <row r="16" spans="1:12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1"/>
      <c r="K16" s="11"/>
      <c r="L16" s="11"/>
    </row>
    <row r="17" spans="1:12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1"/>
      <c r="K17" s="11"/>
      <c r="L17" s="11"/>
    </row>
    <row r="18" spans="1:12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1"/>
      <c r="K18" s="11"/>
      <c r="L18" s="11"/>
    </row>
    <row r="19" spans="1:12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1"/>
      <c r="K19" s="11"/>
      <c r="L19" s="11"/>
    </row>
    <row r="20" spans="1:12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1"/>
      <c r="K20" s="11"/>
      <c r="L20" s="11"/>
    </row>
    <row r="21" spans="1:12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1"/>
      <c r="K21" s="11"/>
      <c r="L21" s="11"/>
    </row>
    <row r="22" spans="1:12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1"/>
      <c r="K22" s="11"/>
      <c r="L22" s="11"/>
    </row>
    <row r="23" spans="1:12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1"/>
      <c r="K23" s="11"/>
      <c r="L23" s="11"/>
    </row>
    <row r="25" spans="1:12" x14ac:dyDescent="0.25">
      <c r="A25" s="12" t="s">
        <v>44</v>
      </c>
      <c r="B25" s="13" t="s">
        <v>25</v>
      </c>
      <c r="C25" s="14" t="s">
        <v>45</v>
      </c>
      <c r="D25" s="15" t="s">
        <v>46</v>
      </c>
      <c r="E25" s="16" t="s">
        <v>47</v>
      </c>
    </row>
  </sheetData>
  <dataValidations count="2">
    <dataValidation type="list" allowBlank="1" errorTitle="Invalid Status" error="Please select from the list" sqref="I6:I23" xr:uid="{00000000-0002-0000-0000-000000000000}">
      <formula1>"Pending,In Review,Submitted,Counter Received,Counter Submitted,Signed,Declined,On Hold"</formula1>
      <formula2>0</formula2>
    </dataValidation>
    <dataValidation type="list" allowBlank="1" sqref="B6:B23" xr:uid="{00000000-0002-0000-0000-000001000000}">
      <formula1>"Medicare Part D,Medicare MA,Commercial,Government,Medicaid,Exchange"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"/>
  <sheetViews>
    <sheetView zoomScaleNormal="100" workbookViewId="0">
      <selection activeCell="H19" sqref="H19"/>
    </sheetView>
  </sheetViews>
  <sheetFormatPr defaultColWidth="8.7109375" defaultRowHeight="15" x14ac:dyDescent="0.25"/>
  <cols>
    <col min="1" max="1" width="16" customWidth="1"/>
    <col min="2" max="2" width="15.140625" bestFit="1" customWidth="1"/>
    <col min="3" max="3" width="8" customWidth="1"/>
    <col min="4" max="6" width="10" customWidth="1"/>
    <col min="7" max="7" width="14" customWidth="1"/>
    <col min="8" max="8" width="8" customWidth="1"/>
    <col min="9" max="9" width="14" customWidth="1"/>
    <col min="10" max="10" width="12" customWidth="1"/>
    <col min="11" max="11" width="25" customWidth="1"/>
    <col min="12" max="12" width="35" customWidth="1"/>
  </cols>
  <sheetData>
    <row r="1" spans="1:12" ht="20.25" x14ac:dyDescent="0.3">
      <c r="A1" s="17" t="s">
        <v>48</v>
      </c>
    </row>
    <row r="2" spans="1:12" x14ac:dyDescent="0.25">
      <c r="A2" s="18"/>
    </row>
    <row r="4" spans="1:12" ht="31.5" x14ac:dyDescent="0.25">
      <c r="A4" s="4" t="s">
        <v>3</v>
      </c>
      <c r="B4" s="4" t="s">
        <v>4</v>
      </c>
      <c r="C4" s="4" t="s">
        <v>49</v>
      </c>
      <c r="D4" s="4" t="s">
        <v>6</v>
      </c>
      <c r="E4" s="4" t="s">
        <v>7</v>
      </c>
      <c r="F4" s="4" t="s">
        <v>50</v>
      </c>
      <c r="G4" s="4" t="s">
        <v>9</v>
      </c>
      <c r="H4" s="4" t="s">
        <v>51</v>
      </c>
      <c r="I4" s="4" t="s">
        <v>52</v>
      </c>
      <c r="J4" s="4" t="s">
        <v>53</v>
      </c>
      <c r="K4" s="4" t="s">
        <v>54</v>
      </c>
      <c r="L4" s="4" t="s">
        <v>14</v>
      </c>
    </row>
    <row r="5" spans="1:12" x14ac:dyDescent="0.25">
      <c r="A5" s="5" t="s">
        <v>33</v>
      </c>
      <c r="B5" s="6" t="s">
        <v>29</v>
      </c>
      <c r="C5" s="6" t="s">
        <v>55</v>
      </c>
      <c r="D5" s="6" t="s">
        <v>18</v>
      </c>
      <c r="E5" s="6" t="s">
        <v>18</v>
      </c>
      <c r="F5" s="6" t="s">
        <v>24</v>
      </c>
      <c r="G5" s="6" t="s">
        <v>18</v>
      </c>
      <c r="H5" s="6" t="s">
        <v>43</v>
      </c>
      <c r="I5" s="6" t="s">
        <v>56</v>
      </c>
      <c r="J5" s="6" t="s">
        <v>57</v>
      </c>
      <c r="K5" s="6" t="s">
        <v>58</v>
      </c>
      <c r="L5" s="6" t="s">
        <v>59</v>
      </c>
    </row>
    <row r="6" spans="1:12" x14ac:dyDescent="0.25">
      <c r="A6" s="5" t="s">
        <v>33</v>
      </c>
      <c r="B6" s="6" t="s">
        <v>29</v>
      </c>
      <c r="C6" s="6" t="s">
        <v>60</v>
      </c>
      <c r="D6" s="6" t="s">
        <v>34</v>
      </c>
      <c r="E6" s="6" t="s">
        <v>18</v>
      </c>
      <c r="F6" s="6" t="s">
        <v>24</v>
      </c>
      <c r="G6" s="6" t="s">
        <v>18</v>
      </c>
      <c r="H6" s="6" t="s">
        <v>61</v>
      </c>
      <c r="I6" s="6" t="s">
        <v>62</v>
      </c>
      <c r="J6" s="6"/>
      <c r="K6" s="6"/>
      <c r="L6" s="6" t="s">
        <v>63</v>
      </c>
    </row>
    <row r="7" spans="1:12" x14ac:dyDescent="0.25">
      <c r="A7" s="5" t="s">
        <v>64</v>
      </c>
      <c r="B7" s="6" t="s">
        <v>16</v>
      </c>
      <c r="C7" s="6" t="s">
        <v>55</v>
      </c>
      <c r="D7" s="6" t="s">
        <v>18</v>
      </c>
      <c r="E7" s="6" t="s">
        <v>18</v>
      </c>
      <c r="F7" s="6" t="s">
        <v>24</v>
      </c>
      <c r="G7" s="6" t="s">
        <v>18</v>
      </c>
      <c r="H7" s="6" t="s">
        <v>43</v>
      </c>
      <c r="I7" s="6" t="s">
        <v>56</v>
      </c>
      <c r="J7" s="6" t="s">
        <v>65</v>
      </c>
      <c r="K7" s="6"/>
      <c r="L7" s="6" t="s">
        <v>66</v>
      </c>
    </row>
    <row r="8" spans="1:12" x14ac:dyDescent="0.25">
      <c r="A8" s="5" t="s">
        <v>64</v>
      </c>
      <c r="B8" s="6" t="s">
        <v>26</v>
      </c>
      <c r="C8" s="6" t="s">
        <v>55</v>
      </c>
      <c r="D8" s="6" t="s">
        <v>18</v>
      </c>
      <c r="E8" s="6" t="s">
        <v>18</v>
      </c>
      <c r="F8" s="6" t="s">
        <v>24</v>
      </c>
      <c r="G8" s="6" t="s">
        <v>27</v>
      </c>
      <c r="H8" s="6" t="s">
        <v>34</v>
      </c>
      <c r="I8" s="6" t="s">
        <v>56</v>
      </c>
      <c r="J8" s="6" t="s">
        <v>65</v>
      </c>
      <c r="K8" s="6"/>
      <c r="L8" s="6" t="s">
        <v>66</v>
      </c>
    </row>
    <row r="9" spans="1:12" x14ac:dyDescent="0.25">
      <c r="A9" s="5" t="s">
        <v>28</v>
      </c>
      <c r="B9" s="6" t="s">
        <v>29</v>
      </c>
      <c r="C9" s="6" t="s">
        <v>55</v>
      </c>
      <c r="D9" s="6" t="s">
        <v>19</v>
      </c>
      <c r="E9" s="6" t="s">
        <v>30</v>
      </c>
      <c r="F9" s="6" t="s">
        <v>30</v>
      </c>
      <c r="G9" s="6" t="s">
        <v>19</v>
      </c>
      <c r="H9" s="6" t="s">
        <v>67</v>
      </c>
      <c r="I9" s="6" t="s">
        <v>56</v>
      </c>
      <c r="J9" s="6" t="s">
        <v>68</v>
      </c>
      <c r="K9" s="6" t="s">
        <v>69</v>
      </c>
      <c r="L9" s="6"/>
    </row>
    <row r="10" spans="1:12" x14ac:dyDescent="0.25">
      <c r="A10" s="5" t="s">
        <v>28</v>
      </c>
      <c r="B10" s="6" t="s">
        <v>29</v>
      </c>
      <c r="C10" s="6" t="s">
        <v>60</v>
      </c>
      <c r="D10" s="6" t="s">
        <v>19</v>
      </c>
      <c r="E10" s="6" t="s">
        <v>30</v>
      </c>
      <c r="F10" s="6" t="s">
        <v>31</v>
      </c>
      <c r="G10" s="6" t="s">
        <v>19</v>
      </c>
      <c r="H10" s="6" t="s">
        <v>70</v>
      </c>
      <c r="I10" s="6" t="s">
        <v>71</v>
      </c>
      <c r="J10" s="6" t="s">
        <v>72</v>
      </c>
      <c r="K10" s="6"/>
      <c r="L10" s="6" t="s">
        <v>73</v>
      </c>
    </row>
    <row r="11" spans="1:12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2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12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12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spans="1:12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12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spans="1:12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2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1:12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spans="1:12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12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1:12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2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1:12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12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1:12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2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2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1:12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1:12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12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1:12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1:12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1:12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</sheetData>
  <dataValidations count="1">
    <dataValidation type="list" allowBlank="1" sqref="I5:I50" xr:uid="{00000000-0002-0000-0100-000000000000}">
      <formula1>"Initial Offer,Counter Offer,Revised Offer,Final Offer,Amendment"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zoomScaleNormal="100" workbookViewId="0">
      <selection activeCell="E55" sqref="E55"/>
    </sheetView>
  </sheetViews>
  <sheetFormatPr defaultColWidth="8.7109375" defaultRowHeight="15" x14ac:dyDescent="0.25"/>
  <cols>
    <col min="1" max="2" width="16" customWidth="1"/>
    <col min="3" max="4" width="12" customWidth="1"/>
    <col min="5" max="5" width="17.5703125" bestFit="1" customWidth="1"/>
    <col min="6" max="7" width="16" customWidth="1"/>
    <col min="8" max="8" width="18.140625" bestFit="1" customWidth="1"/>
  </cols>
  <sheetData>
    <row r="1" spans="1:8" ht="20.25" x14ac:dyDescent="0.3">
      <c r="A1" s="17" t="s">
        <v>74</v>
      </c>
    </row>
    <row r="2" spans="1:8" x14ac:dyDescent="0.25">
      <c r="A2" s="18"/>
    </row>
    <row r="4" spans="1:8" ht="15.75" x14ac:dyDescent="0.25">
      <c r="A4" s="19" t="s">
        <v>3</v>
      </c>
      <c r="B4" s="19" t="s">
        <v>4</v>
      </c>
      <c r="C4" s="19" t="s">
        <v>6</v>
      </c>
      <c r="D4" s="19" t="s">
        <v>7</v>
      </c>
      <c r="E4" s="19" t="s">
        <v>75</v>
      </c>
      <c r="F4" s="19" t="s">
        <v>9</v>
      </c>
      <c r="G4" s="19" t="s">
        <v>76</v>
      </c>
      <c r="H4" s="19" t="s">
        <v>11</v>
      </c>
    </row>
    <row r="5" spans="1:8" x14ac:dyDescent="0.25">
      <c r="A5" s="20" t="s">
        <v>15</v>
      </c>
      <c r="B5" s="21" t="s">
        <v>16</v>
      </c>
      <c r="C5" s="22">
        <v>0.05</v>
      </c>
      <c r="D5" s="22">
        <v>0.04</v>
      </c>
      <c r="E5" s="22">
        <v>1.4999999999999999E-2</v>
      </c>
      <c r="F5" s="22">
        <v>0.04</v>
      </c>
      <c r="G5" s="23">
        <f t="shared" ref="G5:G12" si="0">SUM(C5:F5)</f>
        <v>0.14499999999999999</v>
      </c>
      <c r="H5" s="24" t="s">
        <v>21</v>
      </c>
    </row>
    <row r="6" spans="1:8" x14ac:dyDescent="0.25">
      <c r="A6" s="20" t="s">
        <v>22</v>
      </c>
      <c r="B6" s="21" t="s">
        <v>16</v>
      </c>
      <c r="C6" s="22">
        <v>0.05</v>
      </c>
      <c r="D6" s="22">
        <v>0.05</v>
      </c>
      <c r="E6" s="22">
        <v>0</v>
      </c>
      <c r="F6" s="22">
        <v>0.05</v>
      </c>
      <c r="G6" s="23">
        <f t="shared" si="0"/>
        <v>0.15000000000000002</v>
      </c>
      <c r="H6" s="25" t="s">
        <v>25</v>
      </c>
    </row>
    <row r="7" spans="1:8" x14ac:dyDescent="0.25">
      <c r="A7" s="20" t="s">
        <v>22</v>
      </c>
      <c r="B7" s="21" t="s">
        <v>26</v>
      </c>
      <c r="C7" s="22">
        <v>0.05</v>
      </c>
      <c r="D7" s="22">
        <v>0.05</v>
      </c>
      <c r="E7" s="22">
        <v>0</v>
      </c>
      <c r="F7" s="22">
        <v>0</v>
      </c>
      <c r="G7" s="23">
        <f t="shared" si="0"/>
        <v>0.1</v>
      </c>
      <c r="H7" s="25" t="s">
        <v>25</v>
      </c>
    </row>
    <row r="8" spans="1:8" x14ac:dyDescent="0.25">
      <c r="A8" s="20" t="s">
        <v>28</v>
      </c>
      <c r="B8" s="21" t="s">
        <v>29</v>
      </c>
      <c r="C8" s="22">
        <v>0.04</v>
      </c>
      <c r="D8" s="22">
        <v>0.03</v>
      </c>
      <c r="E8" s="22">
        <v>2.5000000000000001E-2</v>
      </c>
      <c r="F8" s="22">
        <v>0.04</v>
      </c>
      <c r="G8" s="23">
        <f t="shared" si="0"/>
        <v>0.13500000000000001</v>
      </c>
      <c r="H8" s="25" t="s">
        <v>25</v>
      </c>
    </row>
    <row r="9" spans="1:8" x14ac:dyDescent="0.25">
      <c r="A9" s="20" t="s">
        <v>33</v>
      </c>
      <c r="B9" s="21" t="s">
        <v>29</v>
      </c>
      <c r="C9" s="22">
        <v>0.1</v>
      </c>
      <c r="D9" s="22">
        <v>0.05</v>
      </c>
      <c r="E9" s="22">
        <v>0</v>
      </c>
      <c r="F9" s="22">
        <v>0.05</v>
      </c>
      <c r="G9" s="23">
        <f t="shared" si="0"/>
        <v>0.2</v>
      </c>
      <c r="H9" s="24" t="s">
        <v>35</v>
      </c>
    </row>
    <row r="10" spans="1:8" x14ac:dyDescent="0.25">
      <c r="A10" s="20" t="s">
        <v>37</v>
      </c>
      <c r="B10" s="21" t="s">
        <v>29</v>
      </c>
      <c r="C10" s="22">
        <v>4.4999999999999998E-2</v>
      </c>
      <c r="D10" s="22">
        <v>0.04</v>
      </c>
      <c r="E10" s="22">
        <v>1.4999999999999999E-2</v>
      </c>
      <c r="F10" s="22">
        <v>0.05</v>
      </c>
      <c r="G10" s="23">
        <f t="shared" si="0"/>
        <v>0.15</v>
      </c>
      <c r="H10" s="24" t="s">
        <v>21</v>
      </c>
    </row>
    <row r="11" spans="1:8" x14ac:dyDescent="0.25">
      <c r="A11" s="20" t="s">
        <v>39</v>
      </c>
      <c r="B11" s="21" t="s">
        <v>16</v>
      </c>
      <c r="C11" s="22">
        <v>0.05</v>
      </c>
      <c r="D11" s="22">
        <v>0.05</v>
      </c>
      <c r="E11" s="22">
        <v>0</v>
      </c>
      <c r="F11" s="22">
        <v>0.05</v>
      </c>
      <c r="G11" s="23">
        <f t="shared" si="0"/>
        <v>0.15000000000000002</v>
      </c>
      <c r="H11" s="24" t="s">
        <v>21</v>
      </c>
    </row>
    <row r="12" spans="1:8" x14ac:dyDescent="0.25">
      <c r="A12" s="20" t="s">
        <v>41</v>
      </c>
      <c r="B12" s="21" t="s">
        <v>16</v>
      </c>
      <c r="C12" s="22">
        <v>0.15</v>
      </c>
      <c r="D12" s="22">
        <v>0</v>
      </c>
      <c r="E12" s="22">
        <v>0</v>
      </c>
      <c r="F12" s="22">
        <v>0.05</v>
      </c>
      <c r="G12" s="23">
        <f t="shared" si="0"/>
        <v>0.2</v>
      </c>
      <c r="H12" s="24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Contract Status</vt:lpstr>
      <vt:lpstr>Offer History</vt:lpstr>
      <vt:lpstr>Rate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Joseph Ferrante</cp:lastModifiedBy>
  <cp:revision>0</cp:revision>
  <dcterms:created xsi:type="dcterms:W3CDTF">2026-01-20T19:56:15Z</dcterms:created>
  <dcterms:modified xsi:type="dcterms:W3CDTF">2026-01-22T13:43:07Z</dcterms:modified>
  <dc:language>en-US</dc:language>
</cp:coreProperties>
</file>