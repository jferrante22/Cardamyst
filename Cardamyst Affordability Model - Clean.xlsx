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Accruals" sheetId="4" state="visible" r:id="rId4"/>
    <sheet xmlns:r="http://schemas.openxmlformats.org/officeDocument/2006/relationships" name="Sensitivity" sheetId="5" state="hidden" r:id="rId5"/>
    <sheet xmlns:r="http://schemas.openxmlformats.org/officeDocument/2006/relationships" name="Scenarios" sheetId="6" state="visible" r:id="rId6"/>
    <sheet xmlns:r="http://schemas.openxmlformats.org/officeDocument/2006/relationships" name="exFactory Demand Model" sheetId="7" state="hidden" r:id="rId7"/>
    <sheet xmlns:r="http://schemas.openxmlformats.org/officeDocument/2006/relationships" name="Demand Models" sheetId="8" state="hidden" r:id="rId8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&quot;$&quot;#,##0"/>
    <numFmt numFmtId="165" formatCode="0.0%"/>
    <numFmt numFmtId="166" formatCode="&quot;$&quot;#,##0.00"/>
    <numFmt numFmtId="167" formatCode="#,##0.0"/>
    <numFmt numFmtId="168" formatCode="\+0.0%;\-0.0%"/>
    <numFmt numFmtId="169" formatCode="\+0.00%;\-0.00%"/>
    <numFmt numFmtId="170" formatCode="&quot;$&quot;\+#,##0;[Red]&quot;$&quot;\-#,##0"/>
    <numFmt numFmtId="171" formatCode="0.00\x"/>
    <numFmt numFmtId="172" formatCode="_(* #,##0_);_(* \(#,##0\);_(* &quot;-&quot;??_);_(@_)"/>
    <numFmt numFmtId="173" formatCode="[$-409]mmm\-yy;@"/>
    <numFmt numFmtId="174" formatCode="$#,##0"/>
  </numFmts>
  <fonts count="35">
    <font>
      <name val="Calibri"/>
      <family val="2"/>
      <color theme="1"/>
      <sz val="11"/>
      <scheme val="minor"/>
    </font>
    <font>
      <name val="Calibri"/>
      <b val="1"/>
      <color rgb="FF172852"/>
      <sz val="18"/>
    </font>
    <font>
      <name val="Calibri"/>
      <i val="1"/>
      <color rgb="FFE31D93"/>
      <sz val="11"/>
    </font>
    <font>
      <name val="Calibri"/>
      <b val="1"/>
      <color rgb="FFFFFFFF"/>
      <sz val="12"/>
    </font>
    <font>
      <name val="Calibri"/>
      <b val="1"/>
      <color rgb="FF172852"/>
      <sz val="11"/>
    </font>
    <font>
      <name val="Calibri"/>
      <b val="1"/>
      <color rgb="FF0D7AB5"/>
      <sz val="11"/>
    </font>
    <font>
      <name val="Calibri"/>
      <i val="1"/>
      <color rgb="FF54575E"/>
      <sz val="9"/>
    </font>
    <font>
      <name val="Calibri"/>
      <sz val="10"/>
    </font>
    <font>
      <name val="Calibri"/>
      <color rgb="FF71B4BE"/>
      <sz val="9"/>
    </font>
    <font>
      <name val="Calibri"/>
      <b val="1"/>
      <color rgb="FFFFFFFF"/>
      <sz val="11"/>
    </font>
    <font>
      <name val="Calibri"/>
      <b val="1"/>
      <color rgb="FF172852"/>
      <sz val="14"/>
    </font>
    <font>
      <name val="Calibri"/>
      <b val="1"/>
      <color rgb="FFE31D93"/>
      <sz val="9"/>
    </font>
    <font>
      <name val="Calibri"/>
      <b val="1"/>
      <color rgb="FFE31D93"/>
      <sz val="10"/>
    </font>
    <font>
      <name val="Calibri"/>
      <b val="1"/>
      <sz val="10"/>
    </font>
    <font>
      <name val="Calibri"/>
      <b val="1"/>
      <color rgb="FFE31D93"/>
      <sz val="14"/>
    </font>
    <font>
      <name val="Calibri"/>
      <b val="1"/>
      <sz val="12"/>
    </font>
    <font>
      <name val="Calibri"/>
      <b val="1"/>
      <sz val="9"/>
    </font>
    <font>
      <name val="Calibri"/>
      <b val="1"/>
      <color rgb="FFE31D93"/>
      <sz val="12"/>
    </font>
    <font>
      <name val="Calibri"/>
      <b val="1"/>
      <sz val="11"/>
    </font>
    <font>
      <name val="Calibri"/>
      <b val="1"/>
      <color rgb="FF0D7AB5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72852"/>
      <sz val="18"/>
    </font>
    <font>
      <name val="Calibri"/>
      <family val="2"/>
      <b val="1"/>
      <color rgb="FFFFFFFF"/>
      <sz val="12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Tahoma"/>
      <charset val="1"/>
      <color indexed="81"/>
      <sz val="9"/>
    </font>
    <font>
      <name val="Calibri"/>
      <color rgb="00172852"/>
      <sz val="10"/>
    </font>
    <font>
      <name val="Calibri"/>
      <b val="1"/>
      <color rgb="00FFFFFF"/>
      <sz val="14"/>
    </font>
    <font>
      <name val="Calibri"/>
      <b val="1"/>
      <color rgb="00172852"/>
      <sz val="10"/>
    </font>
    <font>
      <name val="Calibri"/>
      <b val="1"/>
      <color rgb="0000B2E3"/>
      <sz val="12"/>
    </font>
    <font>
      <name val="Calibri"/>
      <b val="1"/>
      <color rgb="00FFFFFF"/>
      <sz val="11"/>
    </font>
    <font>
      <name val="Calibri"/>
      <i val="1"/>
      <color rgb="00E31D93"/>
      <sz val="10"/>
    </font>
    <font>
      <name val="Calibri"/>
      <b val="1"/>
      <color rgb="0000B2E3"/>
      <sz val="10"/>
    </font>
    <font>
      <name val="Calibri"/>
      <i val="1"/>
      <color rgb="00172852"/>
      <sz val="9"/>
    </font>
  </fonts>
  <fills count="17">
    <fill>
      <patternFill/>
    </fill>
    <fill>
      <patternFill patternType="gray125"/>
    </fill>
    <fill>
      <patternFill patternType="solid">
        <fgColor rgb="FF172852"/>
        <bgColor rgb="FF172852"/>
      </patternFill>
    </fill>
    <fill>
      <patternFill patternType="solid">
        <fgColor rgb="FFDCEEF4"/>
        <bgColor rgb="FFDCEEF4"/>
      </patternFill>
    </fill>
    <fill>
      <patternFill patternType="solid">
        <fgColor rgb="FFE31D93"/>
        <bgColor rgb="FFE31D93"/>
      </patternFill>
    </fill>
    <fill>
      <patternFill patternType="solid">
        <fgColor rgb="FF71B4BE"/>
        <bgColor rgb="FF71B4BE"/>
      </patternFill>
    </fill>
    <fill>
      <patternFill patternType="solid">
        <fgColor rgb="FFE0E0E0"/>
        <bgColor rgb="FFE0E0E0"/>
      </patternFill>
    </fill>
    <fill>
      <patternFill patternType="solid">
        <fgColor rgb="FF00B2E3"/>
        <bgColor rgb="FF00B2E3"/>
      </patternFill>
    </fill>
    <fill>
      <patternFill patternType="solid">
        <fgColor rgb="FFCCA1DD"/>
        <bgColor rgb="FFCCA1DD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rgb="00DCEEF4"/>
        <bgColor rgb="00DCEEF4"/>
      </patternFill>
    </fill>
    <fill>
      <patternFill patternType="solid">
        <fgColor rgb="00172852"/>
        <bgColor rgb="00172852"/>
      </patternFill>
    </fill>
    <fill>
      <patternFill patternType="solid">
        <fgColor rgb="0000B2E3"/>
        <bgColor rgb="0000B2E3"/>
      </patternFill>
    </fill>
    <fill>
      <patternFill patternType="solid">
        <fgColor rgb="00F5F5F5"/>
        <bgColor rgb="00F5F5F5"/>
      </patternFill>
    </fill>
    <fill>
      <patternFill patternType="solid">
        <fgColor rgb="00E31D93"/>
        <bgColor rgb="00E31D93"/>
      </patternFill>
    </fill>
  </fills>
  <borders count="4">
    <border>
      <left/>
      <right/>
      <top/>
      <bottom/>
      <diagonal/>
    </border>
    <border>
      <left style="medium">
        <color rgb="FF172852"/>
      </left>
      <right style="medium">
        <color rgb="FF172852"/>
      </right>
      <top style="medium">
        <color rgb="FF172852"/>
      </top>
      <bottom style="medium">
        <color rgb="FF172852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5">
    <xf numFmtId="0" fontId="20" fillId="0" borderId="0"/>
    <xf numFmtId="43" fontId="20" fillId="0" borderId="0"/>
    <xf numFmtId="9" fontId="20" fillId="0" borderId="0"/>
    <xf numFmtId="43" fontId="20" fillId="0" borderId="0"/>
    <xf numFmtId="0" fontId="25" fillId="11" borderId="0"/>
  </cellStyleXfs>
  <cellXfs count="139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165" fontId="5" fillId="3" borderId="1" pivotButton="0" quotePrefix="0" xfId="0"/>
    <xf numFmtId="166" fontId="5" fillId="3" borderId="1" pivotButton="0" quotePrefix="0" xfId="0"/>
    <xf numFmtId="0" fontId="3" fillId="4" borderId="0" pivotButton="0" quotePrefix="0" xfId="0"/>
    <xf numFmtId="0" fontId="7" fillId="0" borderId="0" pivotButton="0" quotePrefix="0" xfId="0"/>
    <xf numFmtId="165" fontId="5" fillId="3" borderId="2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167" fontId="0" fillId="6" borderId="0" pivotButton="0" quotePrefix="0" xfId="0"/>
    <xf numFmtId="3" fontId="0" fillId="0" borderId="0" pivotButton="0" quotePrefix="0" xfId="0"/>
    <xf numFmtId="0" fontId="4" fillId="7" borderId="0" pivotButton="0" quotePrefix="0" xfId="0"/>
    <xf numFmtId="165" fontId="0" fillId="7" borderId="0" pivotButton="0" quotePrefix="0" xfId="0"/>
    <xf numFmtId="165" fontId="0" fillId="0" borderId="0" pivotButton="0" quotePrefix="0" xfId="0"/>
    <xf numFmtId="0" fontId="11" fillId="0" borderId="0" pivotButton="0" quotePrefix="0" xfId="0"/>
    <xf numFmtId="165" fontId="0" fillId="6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4" fillId="5" borderId="0" pivotButton="0" quotePrefix="0" xfId="0"/>
    <xf numFmtId="164" fontId="0" fillId="5" borderId="0" pivotButton="0" quotePrefix="0" xfId="0"/>
    <xf numFmtId="164" fontId="3" fillId="2" borderId="0" pivotButton="0" quotePrefix="0" xfId="0"/>
    <xf numFmtId="10" fontId="9" fillId="4" borderId="0" pivotButton="0" quotePrefix="0" xfId="0"/>
    <xf numFmtId="0" fontId="12" fillId="0" borderId="0" pivotButton="0" quotePrefix="0" xfId="0"/>
    <xf numFmtId="0" fontId="13" fillId="6" borderId="0" pivotButton="0" quotePrefix="0" xfId="0"/>
    <xf numFmtId="10" fontId="14" fillId="0" borderId="0" pivotButton="0" quotePrefix="0" xfId="0"/>
    <xf numFmtId="0" fontId="3" fillId="4" borderId="0" applyAlignment="1" pivotButton="0" quotePrefix="0" xfId="0">
      <alignment horizontal="center"/>
    </xf>
    <xf numFmtId="165" fontId="5" fillId="8" borderId="1" pivotButton="0" quotePrefix="0" xfId="0"/>
    <xf numFmtId="10" fontId="0" fillId="6" borderId="0" pivotButton="0" quotePrefix="0" xfId="0"/>
    <xf numFmtId="164" fontId="0" fillId="6" borderId="0" pivotButton="0" quotePrefix="0" xfId="0"/>
    <xf numFmtId="0" fontId="9" fillId="5" borderId="0" applyAlignment="1" pivotButton="0" quotePrefix="0" xfId="0">
      <alignment horizontal="center"/>
    </xf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0" fontId="15" fillId="0" borderId="0" pivotButton="0" quotePrefix="0" xfId="0"/>
    <xf numFmtId="0" fontId="16" fillId="6" borderId="0" pivotButton="0" quotePrefix="0" xfId="0"/>
    <xf numFmtId="10" fontId="17" fillId="0" borderId="0" pivotButton="0" quotePrefix="0" xfId="0"/>
    <xf numFmtId="9" fontId="0" fillId="3" borderId="0" pivotButton="0" quotePrefix="0" xfId="0"/>
    <xf numFmtId="3" fontId="5" fillId="3" borderId="2" pivotButton="0" quotePrefix="0" xfId="0"/>
    <xf numFmtId="164" fontId="0" fillId="7" borderId="0" pivotButton="0" quotePrefix="0" xfId="0"/>
    <xf numFmtId="164" fontId="18" fillId="7" borderId="0" pivotButton="0" quotePrefix="0" xfId="0"/>
    <xf numFmtId="3" fontId="0" fillId="6" borderId="0" pivotButton="0" quotePrefix="0" xfId="0"/>
    <xf numFmtId="2" fontId="0" fillId="3" borderId="2" pivotButton="0" quotePrefix="0" xfId="0"/>
    <xf numFmtId="171" fontId="0" fillId="0" borderId="0" pivotButton="0" quotePrefix="0" xfId="0"/>
    <xf numFmtId="0" fontId="4" fillId="4" borderId="0" pivotButton="0" quotePrefix="0" xfId="0"/>
    <xf numFmtId="164" fontId="9" fillId="4" borderId="0" pivotButton="0" quotePrefix="0" xfId="0"/>
    <xf numFmtId="164" fontId="3" fillId="4" borderId="0" pivotButton="0" quotePrefix="0" xfId="0"/>
    <xf numFmtId="164" fontId="18" fillId="0" borderId="0" pivotButton="0" quotePrefix="0" xfId="0"/>
    <xf numFmtId="170" fontId="18" fillId="0" borderId="0" pivotButton="0" quotePrefix="0" xfId="0"/>
    <xf numFmtId="164" fontId="0" fillId="3" borderId="1" pivotButton="0" quotePrefix="0" xfId="0"/>
    <xf numFmtId="164" fontId="19" fillId="0" borderId="0" pivotButton="0" quotePrefix="0" xfId="0"/>
    <xf numFmtId="10" fontId="19" fillId="0" borderId="0" pivotButton="0" quotePrefix="0" xfId="0"/>
    <xf numFmtId="170" fontId="19" fillId="0" borderId="0" pivotButton="0" quotePrefix="0" xfId="0"/>
    <xf numFmtId="0" fontId="21" fillId="0" borderId="0" pivotButton="0" quotePrefix="0" xfId="0"/>
    <xf numFmtId="0" fontId="0" fillId="10" borderId="0" pivotButton="0" quotePrefix="0" xfId="0"/>
    <xf numFmtId="172" fontId="0" fillId="0" borderId="0" pivotButton="0" quotePrefix="0" xfId="1"/>
    <xf numFmtId="172" fontId="0" fillId="0" borderId="0" pivotButton="0" quotePrefix="0" xfId="1"/>
    <xf numFmtId="9" fontId="0" fillId="0" borderId="0" pivotButton="0" quotePrefix="0" xfId="0"/>
    <xf numFmtId="9" fontId="0" fillId="0" borderId="0" pivotButton="0" quotePrefix="0" xfId="2"/>
    <xf numFmtId="173" fontId="24" fillId="11" borderId="0" applyAlignment="1" pivotButton="0" quotePrefix="0" xfId="4">
      <alignment horizontal="right"/>
    </xf>
    <xf numFmtId="0" fontId="24" fillId="11" borderId="0" applyAlignment="1" pivotButton="0" quotePrefix="0" xfId="4">
      <alignment horizontal="center" vertical="center" wrapText="1"/>
    </xf>
    <xf numFmtId="172" fontId="0" fillId="0" borderId="0" pivotButton="0" quotePrefix="0" xfId="3"/>
    <xf numFmtId="172" fontId="0" fillId="0" borderId="0" pivotButton="0" quotePrefix="0" xfId="0"/>
    <xf numFmtId="43" fontId="0" fillId="0" borderId="0" pivotButton="0" quotePrefix="0" xfId="0"/>
    <xf numFmtId="172" fontId="0" fillId="0" borderId="0" pivotButton="0" quotePrefix="0" xfId="3"/>
    <xf numFmtId="173" fontId="24" fillId="0" borderId="0" applyAlignment="1" pivotButton="0" quotePrefix="0" xfId="4">
      <alignment horizontal="right"/>
    </xf>
    <xf numFmtId="172" fontId="0" fillId="0" borderId="0" pivotButton="0" quotePrefix="0" xfId="1"/>
    <xf numFmtId="172" fontId="0" fillId="0" borderId="0" pivotButton="0" quotePrefix="0" xfId="3"/>
    <xf numFmtId="0" fontId="1" fillId="0" borderId="0" pivotButton="0" quotePrefix="0" xfId="0"/>
    <xf numFmtId="0" fontId="0" fillId="0" borderId="0" pivotButton="0" quotePrefix="0" xfId="0"/>
    <xf numFmtId="0" fontId="3" fillId="2" borderId="0" pivotButton="0" quotePrefix="0" xfId="0"/>
    <xf numFmtId="0" fontId="9" fillId="5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0" fontId="3" fillId="9" borderId="0" pivotButton="0" quotePrefix="0" xfId="0"/>
    <xf numFmtId="0" fontId="22" fillId="0" borderId="0" pivotButton="0" quotePrefix="0" xfId="0"/>
    <xf numFmtId="172" fontId="23" fillId="4" borderId="0" pivotButton="0" quotePrefix="0" xfId="1"/>
    <xf numFmtId="172" fontId="0" fillId="0" borderId="0" pivotButton="0" quotePrefix="0" xfId="1"/>
    <xf numFmtId="0" fontId="28" fillId="13" borderId="0" applyAlignment="1" pivotButton="0" quotePrefix="0" xfId="0">
      <alignment horizontal="center"/>
    </xf>
    <xf numFmtId="0" fontId="34" fillId="0" borderId="0" pivotButton="0" quotePrefix="0" xfId="0"/>
    <xf numFmtId="0" fontId="29" fillId="0" borderId="0" pivotButton="0" quotePrefix="0" xfId="0"/>
    <xf numFmtId="0" fontId="30" fillId="12" borderId="0" applyAlignment="1" pivotButton="0" quotePrefix="0" xfId="0">
      <alignment horizontal="center"/>
    </xf>
    <xf numFmtId="0" fontId="31" fillId="14" borderId="3" applyAlignment="1" pivotButton="0" quotePrefix="0" xfId="0">
      <alignment horizontal="center"/>
    </xf>
    <xf numFmtId="0" fontId="29" fillId="0" borderId="3" pivotButton="0" quotePrefix="0" xfId="0"/>
    <xf numFmtId="167" fontId="0" fillId="6" borderId="3" applyAlignment="1" pivotButton="0" quotePrefix="0" xfId="0">
      <alignment horizontal="right"/>
    </xf>
    <xf numFmtId="3" fontId="0" fillId="0" borderId="3" applyAlignment="1" pivotButton="0" quotePrefix="0" xfId="0">
      <alignment horizontal="right"/>
    </xf>
    <xf numFmtId="0" fontId="29" fillId="7" borderId="3" pivotButton="0" quotePrefix="0" xfId="0"/>
    <xf numFmtId="165" fontId="0" fillId="7" borderId="3" applyAlignment="1" pivotButton="0" quotePrefix="0" xfId="0">
      <alignment horizontal="right"/>
    </xf>
    <xf numFmtId="165" fontId="0" fillId="0" borderId="3" applyAlignment="1" pivotButton="0" quotePrefix="0" xfId="0">
      <alignment horizontal="right"/>
    </xf>
    <xf numFmtId="165" fontId="0" fillId="6" borderId="3" applyAlignment="1" pivotButton="0" quotePrefix="0" xfId="0">
      <alignment horizontal="right"/>
    </xf>
    <xf numFmtId="164" fontId="0" fillId="0" borderId="3" applyAlignment="1" pivotButton="0" quotePrefix="0" xfId="0">
      <alignment horizontal="right"/>
    </xf>
    <xf numFmtId="0" fontId="0" fillId="0" borderId="3" applyAlignment="1" pivotButton="0" quotePrefix="0" xfId="0">
      <alignment horizontal="right"/>
    </xf>
    <xf numFmtId="174" fontId="0" fillId="0" borderId="3" applyAlignment="1" pivotButton="0" quotePrefix="0" xfId="0">
      <alignment horizontal="right"/>
    </xf>
    <xf numFmtId="10" fontId="0" fillId="0" borderId="3" applyAlignment="1" pivotButton="0" quotePrefix="0" xfId="0">
      <alignment horizontal="right"/>
    </xf>
    <xf numFmtId="0" fontId="29" fillId="5" borderId="3" pivotButton="0" quotePrefix="0" xfId="0"/>
    <xf numFmtId="174" fontId="0" fillId="5" borderId="3" applyAlignment="1" pivotButton="0" quotePrefix="0" xfId="0">
      <alignment horizontal="right"/>
    </xf>
    <xf numFmtId="0" fontId="29" fillId="15" borderId="3" pivotButton="0" quotePrefix="0" xfId="0"/>
    <xf numFmtId="174" fontId="29" fillId="15" borderId="3" applyAlignment="1" pivotButton="0" quotePrefix="0" xfId="0">
      <alignment horizontal="right"/>
    </xf>
    <xf numFmtId="165" fontId="29" fillId="15" borderId="3" applyAlignment="1" pivotButton="0" quotePrefix="0" xfId="0">
      <alignment horizontal="right"/>
    </xf>
    <xf numFmtId="0" fontId="28" fillId="13" borderId="3" pivotButton="0" quotePrefix="0" xfId="0"/>
    <xf numFmtId="0" fontId="28" fillId="13" borderId="3" applyAlignment="1" pivotButton="0" quotePrefix="0" xfId="0">
      <alignment horizontal="center"/>
    </xf>
    <xf numFmtId="0" fontId="27" fillId="0" borderId="3" pivotButton="0" quotePrefix="0" xfId="0"/>
    <xf numFmtId="0" fontId="27" fillId="12" borderId="3" applyAlignment="1" pivotButton="0" quotePrefix="0" xfId="0">
      <alignment horizontal="center"/>
    </xf>
    <xf numFmtId="164" fontId="27" fillId="12" borderId="3" applyAlignment="1" pivotButton="0" quotePrefix="0" xfId="0">
      <alignment horizontal="center"/>
    </xf>
    <xf numFmtId="165" fontId="27" fillId="12" borderId="3" applyAlignment="1" pivotButton="0" quotePrefix="0" xfId="0">
      <alignment horizontal="center"/>
    </xf>
    <xf numFmtId="166" fontId="27" fillId="12" borderId="3" applyAlignment="1" pivotButton="0" quotePrefix="0" xfId="0">
      <alignment horizontal="center"/>
    </xf>
    <xf numFmtId="0" fontId="27" fillId="5" borderId="3" pivotButton="0" quotePrefix="0" xfId="0"/>
    <xf numFmtId="0" fontId="27" fillId="2" borderId="3" pivotButton="0" quotePrefix="0" xfId="0"/>
    <xf numFmtId="0" fontId="28" fillId="13" borderId="0" pivotButton="0" quotePrefix="0" xfId="0"/>
    <xf numFmtId="0" fontId="31" fillId="14" borderId="0" applyAlignment="1" pivotButton="0" quotePrefix="0" xfId="0">
      <alignment horizontal="center"/>
    </xf>
    <xf numFmtId="0" fontId="31" fillId="14" borderId="0" pivotButton="0" quotePrefix="0" xfId="0"/>
    <xf numFmtId="3" fontId="5" fillId="3" borderId="3" applyAlignment="1" pivotButton="0" quotePrefix="0" xfId="0">
      <alignment horizontal="right"/>
    </xf>
    <xf numFmtId="0" fontId="29" fillId="7" borderId="0" pivotButton="0" quotePrefix="0" xfId="0"/>
    <xf numFmtId="164" fontId="0" fillId="7" borderId="3" applyAlignment="1" pivotButton="0" quotePrefix="0" xfId="0">
      <alignment horizontal="right"/>
    </xf>
    <xf numFmtId="164" fontId="18" fillId="7" borderId="3" applyAlignment="1" pivotButton="0" quotePrefix="0" xfId="0">
      <alignment horizontal="right"/>
    </xf>
    <xf numFmtId="3" fontId="0" fillId="6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71" fontId="0" fillId="0" borderId="3" applyAlignment="1" pivotButton="0" quotePrefix="0" xfId="0">
      <alignment horizontal="right"/>
    </xf>
    <xf numFmtId="0" fontId="29" fillId="4" borderId="0" pivotButton="0" quotePrefix="0" xfId="0"/>
    <xf numFmtId="164" fontId="9" fillId="4" borderId="3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  <xf numFmtId="164" fontId="18" fillId="0" borderId="3" applyAlignment="1" pivotButton="0" quotePrefix="0" xfId="0">
      <alignment horizontal="right"/>
    </xf>
    <xf numFmtId="164" fontId="0" fillId="6" borderId="3" applyAlignment="1" pivotButton="0" quotePrefix="0" xfId="0">
      <alignment horizontal="right"/>
    </xf>
    <xf numFmtId="170" fontId="0" fillId="0" borderId="3" applyAlignment="1" pivotButton="0" quotePrefix="0" xfId="0">
      <alignment horizontal="right"/>
    </xf>
    <xf numFmtId="170" fontId="18" fillId="0" borderId="3" applyAlignment="1" pivotButton="0" quotePrefix="0" xfId="0">
      <alignment horizontal="right"/>
    </xf>
    <xf numFmtId="168" fontId="0" fillId="0" borderId="3" applyAlignment="1" pivotButton="0" quotePrefix="0" xfId="0">
      <alignment horizontal="right"/>
    </xf>
    <xf numFmtId="0" fontId="32" fillId="0" borderId="0" pivotButton="0" quotePrefix="0" xfId="0"/>
    <xf numFmtId="0" fontId="31" fillId="16" borderId="0" pivotButton="0" quotePrefix="0" xfId="0"/>
    <xf numFmtId="165" fontId="33" fillId="12" borderId="3" applyAlignment="1" pivotButton="0" quotePrefix="0" xfId="0">
      <alignment horizontal="right"/>
    </xf>
    <xf numFmtId="174" fontId="0" fillId="6" borderId="3" applyAlignment="1" pivotButton="0" quotePrefix="0" xfId="0">
      <alignment horizontal="right"/>
    </xf>
  </cellXfs>
  <cellStyles count="5">
    <cellStyle name="Normal" xfId="0" builtinId="0"/>
    <cellStyle name="Comma" xfId="1" builtinId="3"/>
    <cellStyle name="Percent" xfId="2" builtinId="5"/>
    <cellStyle name="Comma 2 3" xfId="3"/>
    <cellStyle name="Accent1" xfId="4" builtinId="2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Monthly GTN % Trend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Charts!$B$6</f>
              <strCache>
                <ptCount val="1"/>
                <pt idx="0">
                  <v>GTN %</v>
                </pt>
              </strCache>
            </strRef>
          </tx>
          <spPr>
            <a:ln xmlns:a="http://schemas.openxmlformats.org/drawingml/2006/main" w="30000">
              <a:solidFill>
                <a:srgbClr val="E31D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Charts!$A$7:$A$18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Charts!$B$7:$B$18</f>
              <numCache>
                <formatCode>0.00%</formatCode>
                <ptCount val="12"/>
                <pt idx="0">
                  <v>0</v>
                </pt>
                <pt idx="1">
                  <v>0.7722754045519032</v>
                </pt>
                <pt idx="2">
                  <v>0.7424369164049565</v>
                </pt>
                <pt idx="3">
                  <v>0.7052405545546936</v>
                </pt>
                <pt idx="4">
                  <v>0.6274277057901837</v>
                </pt>
                <pt idx="5">
                  <v>0.5175022351704466</v>
                </pt>
                <pt idx="6">
                  <v>0.4194717754426887</v>
                </pt>
                <pt idx="7">
                  <v>0.3598421246085147</v>
                </pt>
                <pt idx="8">
                  <v>0.3071907760976647</v>
                </pt>
                <pt idx="9">
                  <v>0.1965078126823562</v>
                </pt>
                <pt idx="10">
                  <v>0.1662073443923709</v>
                </pt>
                <pt idx="11">
                  <v>0.1700496551168555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GTN %</a:t>
                </a:r>
              </a:p>
            </rich>
          </tx>
          <overlay val="1"/>
        </title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Coverage Impact on GTN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2645833333333333"/>
          <y val="0.03821759259259259"/>
          <w val="0.9514930555555555"/>
          <h val="0.8940148148148148"/>
        </manualLayout>
      </layout>
      <lineChart>
        <grouping val="standard"/>
        <varyColors val="1"/>
        <ser>
          <idx val="0"/>
          <order val="0"/>
          <tx>
            <strRef>
              <f>Charts!$B$6</f>
              <strCache>
                <ptCount val="1"/>
                <pt idx="0">
                  <v>GTN %</v>
                </pt>
              </strCache>
            </strRef>
          </tx>
          <spPr>
            <a:ln xmlns:a="http://schemas.openxmlformats.org/drawingml/2006/main" w="30000">
              <a:solidFill>
                <a:srgbClr val="E31D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Charts!$A$7:$A$18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Charts!$B$7:$B$18</f>
              <numCache>
                <formatCode>0.00%</formatCode>
                <ptCount val="12"/>
                <pt idx="0">
                  <v>0</v>
                </pt>
                <pt idx="1">
                  <v>0.7722754045519032</v>
                </pt>
                <pt idx="2">
                  <v>0.7424369164049565</v>
                </pt>
                <pt idx="3">
                  <v>0.7052405545546936</v>
                </pt>
                <pt idx="4">
                  <v>0.6274277057901837</v>
                </pt>
                <pt idx="5">
                  <v>0.5175022351704466</v>
                </pt>
                <pt idx="6">
                  <v>0.4194717754426887</v>
                </pt>
                <pt idx="7">
                  <v>0.3598421246085147</v>
                </pt>
                <pt idx="8">
                  <v>0.3071907760976647</v>
                </pt>
                <pt idx="9">
                  <v>0.1965078126823562</v>
                </pt>
                <pt idx="10">
                  <v>0.1662073443923709</v>
                </pt>
                <pt idx="11">
                  <v>0.1700496551168555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Charts!$C$6</f>
              <strCache>
                <ptCount val="1"/>
                <pt idx="0">
                  <v>Coverage %</v>
                </pt>
              </strCache>
            </strRef>
          </tx>
          <spPr>
            <a:ln xmlns:a="http://schemas.openxmlformats.org/drawingml/2006/main" w="30000">
              <a:solidFill>
                <a:srgbClr val="71B4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Charts!$C$7:$C$18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0.06</v>
                </pt>
                <pt idx="4">
                  <v>0.11</v>
                </pt>
                <pt idx="5">
                  <v>0.29</v>
                </pt>
                <pt idx="6">
                  <v>0.44</v>
                </pt>
                <pt idx="7">
                  <v>0.52</v>
                </pt>
                <pt idx="8">
                  <v>0.58</v>
                </pt>
                <pt idx="9">
                  <v>0.58</v>
                </pt>
                <pt idx="10">
                  <v>0.58</v>
                </pt>
                <pt idx="11">
                  <v>0.58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l"/>
        <numFmt formatCode="0.0%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Program Costs: Covered vs Not Covered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Charts!$D$6</f>
              <strCache>
                <ptCount val="1"/>
                <pt idx="0">
                  <v>Covered Cost</v>
                </pt>
              </strCache>
            </strRef>
          </tx>
          <spPr>
            <a:solidFill xmlns:a="http://schemas.openxmlformats.org/drawingml/2006/main">
              <a:srgbClr val="71B4B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Charts!$A$7:$A$18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Charts!$D$7:$D$18</f>
              <numCache>
                <formatCode>"$"#,##0</formatCode>
                <ptCount val="12"/>
                <pt idx="0">
                  <v>0</v>
                </pt>
                <pt idx="1">
                  <v>58709.9210232</v>
                </pt>
                <pt idx="2">
                  <v>88986.826464</v>
                </pt>
                <pt idx="3">
                  <v>125169.6124536</v>
                </pt>
                <pt idx="4">
                  <v>249897.1909548</v>
                </pt>
                <pt idx="5">
                  <v>475250.6027256</v>
                </pt>
                <pt idx="6">
                  <v>683698.1930408</v>
                </pt>
                <pt idx="7">
                  <v>724616.1325416003</v>
                </pt>
                <pt idx="8">
                  <v>715502.7678888001</v>
                </pt>
                <pt idx="9">
                  <v>612853.4245912</v>
                </pt>
                <pt idx="10">
                  <v>490407.9006776002</v>
                </pt>
                <pt idx="11">
                  <v>575509.0381560003</v>
                </pt>
              </numCache>
            </numRef>
          </val>
        </ser>
        <ser>
          <idx val="1"/>
          <order val="1"/>
          <tx>
            <strRef>
              <f>Charts!$E$6</f>
              <strCache>
                <ptCount val="1"/>
                <pt idx="0">
                  <v>Not Covered Cost</v>
                </pt>
              </strCache>
            </strRef>
          </tx>
          <spPr>
            <a:solidFill xmlns:a="http://schemas.openxmlformats.org/drawingml/2006/main">
              <a:srgbClr val="E31D93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Charts!$A$7:$A$18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Charts!$E$7:$E$18</f>
              <numCache>
                <formatCode>"$"#,##0</formatCode>
                <ptCount val="12"/>
                <pt idx="0">
                  <v>0</v>
                </pt>
                <pt idx="1">
                  <v>87498.563712</v>
                </pt>
                <pt idx="2">
                  <v>140908.1856</v>
                </pt>
                <pt idx="3">
                  <v>212083.47314</v>
                </pt>
                <pt idx="4">
                  <v>268141.19227</v>
                </pt>
                <pt idx="5">
                  <v>258460.81121</v>
                </pt>
                <pt idx="6">
                  <v>247016.96082</v>
                </pt>
                <pt idx="7">
                  <v>316421.01666</v>
                </pt>
                <pt idx="8">
                  <v>444661.01442</v>
                </pt>
                <pt idx="9">
                  <v>242609.346</v>
                </pt>
                <pt idx="10">
                  <v>357448.6704600001</v>
                </pt>
                <pt idx="11">
                  <v>457121.73528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Cost ($)</a:t>
                </a:r>
              </a:p>
            </rich>
          </tx>
          <overlay val="1"/>
        </title>
        <numFmt formatCode="&quot;$&quot;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461458333333333"/>
          <y val="0.2292932870370371"/>
          <w val="0.1946006944444444"/>
          <h val="0.1063208333333333"/>
        </manualLayout>
      </layout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GTN: Accrued (ExFactory) vs Actual (Rx)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Accruals!$B$50</f>
              <strCache>
                <ptCount val="1"/>
                <pt idx="0">
                  <v>Accrued</v>
                </pt>
              </strCache>
            </strRef>
          </tx>
          <spPr>
            <a:solidFill xmlns:a="http://schemas.openxmlformats.org/drawingml/2006/main">
              <a:srgbClr val="E31D93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Accruals!$A$51:$A$62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Accruals!$B$51:$B$62</f>
              <numCache>
                <formatCode>"$"#,##0</formatCode>
                <ptCount val="12"/>
                <pt idx="0">
                  <v>0</v>
                </pt>
                <pt idx="1">
                  <v>0</v>
                </pt>
                <pt idx="2">
                  <v>585205.1111225475</v>
                </pt>
                <pt idx="3">
                  <v>980359.8315703614</v>
                </pt>
                <pt idx="4">
                  <v>1646093.604375188</v>
                </pt>
                <pt idx="5">
                  <v>1575944.769868886</v>
                </pt>
                <pt idx="6">
                  <v>2815082.530619898</v>
                </pt>
                <pt idx="7">
                  <v>2113915.051145507</v>
                </pt>
                <pt idx="8">
                  <v>2662213.413115325</v>
                </pt>
                <pt idx="9">
                  <v>1574355.059855508</v>
                </pt>
                <pt idx="10">
                  <v>1907910.934773646</v>
                </pt>
                <pt idx="11">
                  <v>1807184.471928871</v>
                </pt>
              </numCache>
            </numRef>
          </val>
        </ser>
        <ser>
          <idx val="1"/>
          <order val="1"/>
          <tx>
            <strRef>
              <f>Accruals!$C$50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71B4B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Accruals!$A$51:$A$62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Accruals!$C$51:$C$62</f>
              <numCache>
                <formatCode>"$"#,##0</formatCode>
                <ptCount val="12"/>
                <pt idx="0">
                  <v>0</v>
                </pt>
                <pt idx="1">
                  <v>146208.4847352</v>
                </pt>
                <pt idx="2">
                  <v>229895.012064</v>
                </pt>
                <pt idx="3">
                  <v>337253.0855936</v>
                </pt>
                <pt idx="4">
                  <v>518038.3832248</v>
                </pt>
                <pt idx="5">
                  <v>733711.4139356</v>
                </pt>
                <pt idx="6">
                  <v>930715.1538608001</v>
                </pt>
                <pt idx="7">
                  <v>1041037.1492016</v>
                </pt>
                <pt idx="8">
                  <v>1160163.7823088</v>
                </pt>
                <pt idx="9">
                  <v>855462.7705912</v>
                </pt>
                <pt idx="10">
                  <v>847856.5711376002</v>
                </pt>
                <pt idx="11">
                  <v>1032630.773436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GTN ($)</a:t>
                </a:r>
              </a:p>
            </rich>
          </tx>
          <overlay val="1"/>
        </title>
        <numFmt formatCode="&quot;$&quot;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683270833333333"/>
          <y val="0.1469784722222222"/>
          <w val="0.1106833333333333"/>
          <h val="0.1063208333333333"/>
        </manualLayout>
      </layout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Baseline vs Scenario GTN %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Scenarios!$B$25</f>
              <strCache>
                <ptCount val="1"/>
                <pt idx="0">
                  <v>Baseline GTN</v>
                </pt>
              </strCache>
            </strRef>
          </tx>
          <spPr>
            <a:ln xmlns:a="http://schemas.openxmlformats.org/drawingml/2006/main" w="25000">
              <a:solidFill>
                <a:srgbClr val="1728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Scenarios!$A$26:$A$37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Scenarios!$B$26:$B$37</f>
              <numCache>
                <formatCode>0.00%</formatCode>
                <ptCount val="12"/>
                <pt idx="0">
                  <v>0</v>
                </pt>
                <pt idx="1">
                  <v>0.7722754045519032</v>
                </pt>
                <pt idx="2">
                  <v>0.7424369164049565</v>
                </pt>
                <pt idx="3">
                  <v>0.7052405545546936</v>
                </pt>
                <pt idx="4">
                  <v>0.6274277057901837</v>
                </pt>
                <pt idx="5">
                  <v>0.5175022351704466</v>
                </pt>
                <pt idx="6">
                  <v>0.4194717754426887</v>
                </pt>
                <pt idx="7">
                  <v>0.3598421246085147</v>
                </pt>
                <pt idx="8">
                  <v>0.3071907760976647</v>
                </pt>
                <pt idx="9">
                  <v>0.1965078126823562</v>
                </pt>
                <pt idx="10">
                  <v>0.1662073443923709</v>
                </pt>
                <pt idx="11">
                  <v>0.1700496551168555</v>
                </pt>
              </numCache>
            </numRef>
          </val>
          <smooth val="1"/>
        </ser>
        <ser>
          <idx val="1"/>
          <order val="1"/>
          <tx>
            <strRef>
              <f>Scenarios!$C$25</f>
              <strCache>
                <ptCount val="1"/>
                <pt idx="0">
                  <v>Scenario GTN</v>
                </pt>
              </strCache>
            </strRef>
          </tx>
          <spPr>
            <a:ln xmlns:a="http://schemas.openxmlformats.org/drawingml/2006/main" w="25000">
              <a:solidFill>
                <a:srgbClr val="E31D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Scenarios!$A$26:$A$37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Scenarios!$C$26:$C$37</f>
              <numCache>
                <formatCode>0.00%</formatCode>
                <ptCount val="12"/>
                <pt idx="0">
                  <v>0</v>
                </pt>
                <pt idx="1">
                  <v>0.7722754045519032</v>
                </pt>
                <pt idx="2">
                  <v>0.7424369164049565</v>
                </pt>
                <pt idx="3">
                  <v>0.7052405545546936</v>
                </pt>
                <pt idx="4">
                  <v>0.6274277057901837</v>
                </pt>
                <pt idx="5">
                  <v>0.5175022351704466</v>
                </pt>
                <pt idx="6">
                  <v>0.4194717754426887</v>
                </pt>
                <pt idx="7">
                  <v>0.3598421246085147</v>
                </pt>
                <pt idx="8">
                  <v>0.3071907760976647</v>
                </pt>
                <pt idx="9">
                  <v>0.1965078126823562</v>
                </pt>
                <pt idx="10">
                  <v>0.1662073443923709</v>
                </pt>
                <pt idx="11">
                  <v>0.1700496551168555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tc={158985F0-33CF-4447-A864-86E226220DB6}</author>
    <author>tc={447CDA9E-8737-4D64-9E6A-56C140CF1978}</author>
    <author>tc={3FC00A1C-E5A1-4B95-BDF9-1647685A46FA}</author>
    <author>tc={4205EFCE-51F3-4A77-B878-B5E7C0710D5A}</author>
  </authors>
  <commentList>
    <comment ref="D1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ExFactory units don’t match chart. </t>
      </text>
    </comment>
    <comment ref="E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should probably create an estimate on the Model tab to forecast the GTN% on stocking units shipped. </t>
      </text>
    </comment>
    <comment ref="D31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Don’t think we will need a cumulative variance here since we are just trying to show the sensitivity between exFactor and true script demand over time. </t>
      </text>
    </comment>
    <comment ref="F37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we think we will have 30day PM terms, we should shift these a month to make sure we are matching payments with the accrual release.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2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81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5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607695</colOff>
      <row>29</row>
      <rowOff>36195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533400</colOff>
      <row>28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0</row>
      <rowOff>0</rowOff>
    </from>
    <ext cx="1905000" cy="4762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476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8</col>
      <colOff>542925</colOff>
      <row>41</row>
      <rowOff>66675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905000" cy="4762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76200</rowOff>
    </from>
    <ext cx="1905000" cy="476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76200"/>
          <a:ext cx="1905000" cy="476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219075</colOff>
      <row>39</row>
      <rowOff>47625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905000" cy="4762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76200</rowOff>
    </from>
    <ext cx="1905000" cy="476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76200"/>
          <a:ext cx="1905000" cy="476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30"/>
  <sheetViews>
    <sheetView showGridLines="0" workbookViewId="0">
      <selection activeCell="C3" sqref="C3"/>
    </sheetView>
  </sheetViews>
  <sheetFormatPr baseColWidth="8" defaultRowHeight="15"/>
  <cols>
    <col width="3" customWidth="1" style="74" min="1" max="1"/>
    <col width="12" customWidth="1" style="74" min="2" max="2"/>
    <col width="8" customWidth="1" style="74" min="3" max="3"/>
    <col width="28" bestFit="1" customWidth="1" style="74" min="4" max="4"/>
    <col width="11" customWidth="1" style="74" min="5" max="16"/>
    <col width="11" customWidth="1" style="74" min="6" max="6"/>
    <col width="11" customWidth="1" style="74" min="7" max="7"/>
    <col width="11" customWidth="1" style="74" min="8" max="8"/>
    <col width="11" customWidth="1" style="74" min="9" max="9"/>
    <col width="11" customWidth="1" style="74" min="10" max="10"/>
    <col width="11" customWidth="1" style="74" min="11" max="11"/>
    <col width="11" customWidth="1" style="74" min="12" max="12"/>
    <col width="11" customWidth="1" style="74" min="13" max="13"/>
    <col width="11" customWidth="1" style="74" min="14" max="14"/>
    <col width="11" customWidth="1" style="74" min="15" max="15"/>
    <col width="11" customWidth="1" style="74" min="16" max="16"/>
    <col width="11" customWidth="1" style="74" min="17" max="17"/>
    <col width="25" customWidth="1" style="74" min="18" max="18"/>
  </cols>
  <sheetData>
    <row r="1" ht="18.75" customHeight="1" s="74">
      <c r="D1" s="87" t="inlineStr">
        <is>
          <t>DETAILED AFFORDABILITY MODEL</t>
        </is>
      </c>
    </row>
    <row r="2" ht="15.75" customHeight="1" s="74">
      <c r="B2" s="88" t="inlineStr">
        <is>
          <t>Select Demand Scenario:</t>
        </is>
      </c>
      <c r="D2" s="88" t="inlineStr">
        <is>
          <t>(1 = Original Base, 2 = BOD Nov 2025)</t>
        </is>
      </c>
      <c r="E2" s="80" t="n">
        <v>2026</v>
      </c>
    </row>
    <row r="3" ht="15.75" customHeight="1" s="74">
      <c r="B3" s="89" t="inlineStr">
        <is>
          <t xml:space="preserve">Demand </t>
        </is>
      </c>
      <c r="C3" s="90" t="n">
        <v>1</v>
      </c>
      <c r="E3" s="91" t="inlineStr">
        <is>
          <t>Jan</t>
        </is>
      </c>
      <c r="F3" s="91" t="inlineStr">
        <is>
          <t>Feb</t>
        </is>
      </c>
      <c r="G3" s="91" t="inlineStr">
        <is>
          <t>Mar</t>
        </is>
      </c>
      <c r="H3" s="91" t="inlineStr">
        <is>
          <t>Apr</t>
        </is>
      </c>
      <c r="I3" s="91" t="inlineStr">
        <is>
          <t>May</t>
        </is>
      </c>
      <c r="J3" s="91" t="inlineStr">
        <is>
          <t>Jun</t>
        </is>
      </c>
      <c r="K3" s="91" t="inlineStr">
        <is>
          <t>Jul</t>
        </is>
      </c>
      <c r="L3" s="91" t="inlineStr">
        <is>
          <t>Aug</t>
        </is>
      </c>
      <c r="M3" s="91" t="inlineStr">
        <is>
          <t>Sep</t>
        </is>
      </c>
      <c r="N3" s="91" t="inlineStr">
        <is>
          <t>Oct</t>
        </is>
      </c>
      <c r="O3" s="91" t="inlineStr">
        <is>
          <t>Nov</t>
        </is>
      </c>
      <c r="P3" s="91" t="inlineStr">
        <is>
          <t>Dec</t>
        </is>
      </c>
      <c r="Q3" s="91" t="inlineStr">
        <is>
          <t>ANNUAL</t>
        </is>
      </c>
      <c r="R3" s="75" t="inlineStr">
        <is>
          <t>Notes</t>
        </is>
      </c>
    </row>
    <row r="4">
      <c r="D4" s="92" t="inlineStr">
        <is>
          <t>TRx Forecast (Covered Commercial)</t>
        </is>
      </c>
      <c r="E4" s="93">
        <f>+IF($C$3=1,'Demand Models'!C10,'Demand Models'!C18)</f>
        <v/>
      </c>
      <c r="F4" s="93">
        <f>+IF($C$3=1,'Demand Models'!D10,'Demand Models'!D18)</f>
        <v/>
      </c>
      <c r="G4" s="93">
        <f>+IF($C$3=1,'Demand Models'!E10,'Demand Models'!E18)</f>
        <v/>
      </c>
      <c r="H4" s="93">
        <f>+IF($C$3=1,'Demand Models'!F10,'Demand Models'!F18)</f>
        <v/>
      </c>
      <c r="I4" s="93">
        <f>+IF($C$3=1,'Demand Models'!G10,'Demand Models'!G18)</f>
        <v/>
      </c>
      <c r="J4" s="93">
        <f>+IF($C$3=1,'Demand Models'!H10,'Demand Models'!H18)</f>
        <v/>
      </c>
      <c r="K4" s="93">
        <f>+IF($C$3=1,'Demand Models'!I10,'Demand Models'!I18)</f>
        <v/>
      </c>
      <c r="L4" s="93">
        <f>+IF($C$3=1,'Demand Models'!J10,'Demand Models'!J18)</f>
        <v/>
      </c>
      <c r="M4" s="93">
        <f>+IF($C$3=1,'Demand Models'!K10,'Demand Models'!K18)</f>
        <v/>
      </c>
      <c r="N4" s="93">
        <f>+IF($C$3=1,'Demand Models'!L10,'Demand Models'!L18)</f>
        <v/>
      </c>
      <c r="O4" s="93">
        <f>+IF($C$3=1,'Demand Models'!M10,'Demand Models'!M18)</f>
        <v/>
      </c>
      <c r="P4" s="93">
        <f>+IF($C$3=1,'Demand Models'!N10,'Demand Models'!N18)</f>
        <v/>
      </c>
      <c r="Q4" s="94">
        <f>SUM(E4:P4)</f>
        <v/>
      </c>
    </row>
    <row r="5">
      <c r="D5" s="92" t="inlineStr">
        <is>
          <t>TRx Forecast (Not Covered Commercial)</t>
        </is>
      </c>
      <c r="E5" s="93">
        <f>+IF($C$3=1,'Demand Models'!C11,'Demand Models'!C19)</f>
        <v/>
      </c>
      <c r="F5" s="93">
        <f>+IF($C$3=1,'Demand Models'!D11,'Demand Models'!D19)</f>
        <v/>
      </c>
      <c r="G5" s="93">
        <f>+IF($C$3=1,'Demand Models'!E11,'Demand Models'!E19)</f>
        <v/>
      </c>
      <c r="H5" s="93">
        <f>+IF($C$3=1,'Demand Models'!F11,'Demand Models'!F19)</f>
        <v/>
      </c>
      <c r="I5" s="93">
        <f>+IF($C$3=1,'Demand Models'!G11,'Demand Models'!G19)</f>
        <v/>
      </c>
      <c r="J5" s="93">
        <f>+IF($C$3=1,'Demand Models'!H11,'Demand Models'!H19)</f>
        <v/>
      </c>
      <c r="K5" s="93">
        <f>+IF($C$3=1,'Demand Models'!I11,'Demand Models'!I19)</f>
        <v/>
      </c>
      <c r="L5" s="93">
        <f>+IF($C$3=1,'Demand Models'!J11,'Demand Models'!J19)</f>
        <v/>
      </c>
      <c r="M5" s="93">
        <f>+IF($C$3=1,'Demand Models'!K11,'Demand Models'!K19)</f>
        <v/>
      </c>
      <c r="N5" s="93">
        <f>+IF($C$3=1,'Demand Models'!L11,'Demand Models'!L19)</f>
        <v/>
      </c>
      <c r="O5" s="93">
        <f>+IF($C$3=1,'Demand Models'!M11,'Demand Models'!M19)</f>
        <v/>
      </c>
      <c r="P5" s="93">
        <f>+IF($C$3=1,'Demand Models'!N11,'Demand Models'!N19)</f>
        <v/>
      </c>
      <c r="Q5" s="94">
        <f>SUM(E5:P5)</f>
        <v/>
      </c>
    </row>
    <row r="6">
      <c r="D6" s="95" t="inlineStr">
        <is>
          <t>Coverage Uptake %</t>
        </is>
      </c>
      <c r="E6" s="96">
        <f>Assumptions!C22</f>
        <v/>
      </c>
      <c r="F6" s="96">
        <f>Assumptions!C23</f>
        <v/>
      </c>
      <c r="G6" s="96">
        <f>Assumptions!C24</f>
        <v/>
      </c>
      <c r="H6" s="96">
        <f>Assumptions!C25</f>
        <v/>
      </c>
      <c r="I6" s="96">
        <f>Assumptions!C26</f>
        <v/>
      </c>
      <c r="J6" s="96">
        <f>Assumptions!C27</f>
        <v/>
      </c>
      <c r="K6" s="96">
        <f>Assumptions!C28</f>
        <v/>
      </c>
      <c r="L6" s="96">
        <f>Assumptions!C29</f>
        <v/>
      </c>
      <c r="M6" s="96">
        <f>Assumptions!C30</f>
        <v/>
      </c>
      <c r="N6" s="96">
        <f>Assumptions!C31</f>
        <v/>
      </c>
      <c r="O6" s="96">
        <f>Assumptions!C32</f>
        <v/>
      </c>
      <c r="P6" s="96">
        <f>Assumptions!C33</f>
        <v/>
      </c>
      <c r="Q6" s="97">
        <f>AVERAGE(E6:P6)</f>
        <v/>
      </c>
      <c r="R6" s="20" t="n"/>
    </row>
    <row r="7">
      <c r="D7" s="92" t="inlineStr">
        <is>
          <t>Payer Mix (Commercial)</t>
        </is>
      </c>
      <c r="E7" s="98">
        <f>Assumptions!C50</f>
        <v/>
      </c>
      <c r="F7" s="98">
        <f>Assumptions!C51</f>
        <v/>
      </c>
      <c r="G7" s="98">
        <f>Assumptions!C52</f>
        <v/>
      </c>
      <c r="H7" s="98">
        <f>Assumptions!C53</f>
        <v/>
      </c>
      <c r="I7" s="98">
        <f>Assumptions!C54</f>
        <v/>
      </c>
      <c r="J7" s="98">
        <f>Assumptions!C55</f>
        <v/>
      </c>
      <c r="K7" s="98">
        <f>Assumptions!C56</f>
        <v/>
      </c>
      <c r="L7" s="98">
        <f>Assumptions!C57</f>
        <v/>
      </c>
      <c r="M7" s="98">
        <f>Assumptions!C58</f>
        <v/>
      </c>
      <c r="N7" s="98">
        <f>Assumptions!C59</f>
        <v/>
      </c>
      <c r="O7" s="98">
        <f>Assumptions!C60</f>
        <v/>
      </c>
      <c r="P7" s="98">
        <f>Assumptions!C61</f>
        <v/>
      </c>
      <c r="Q7" s="97" t="n"/>
    </row>
    <row r="8">
      <c r="D8" s="92" t="inlineStr">
        <is>
          <t>% Covered Claims</t>
        </is>
      </c>
      <c r="E8" s="97">
        <f>E6+((1-E6)*Assumptions!$C$11)</f>
        <v/>
      </c>
      <c r="F8" s="97">
        <f>F6+((1-F6)*Assumptions!$C$11)</f>
        <v/>
      </c>
      <c r="G8" s="97">
        <f>G6+((1-G6)*Assumptions!$C$11)</f>
        <v/>
      </c>
      <c r="H8" s="97">
        <f>H6+((1-H6)*Assumptions!$C$11)</f>
        <v/>
      </c>
      <c r="I8" s="97">
        <f>I6+((1-I6)*Assumptions!$C$11)</f>
        <v/>
      </c>
      <c r="J8" s="97">
        <f>J6+((1-J6)*Assumptions!$C$11)</f>
        <v/>
      </c>
      <c r="K8" s="97">
        <f>K6+((1-K6)*Assumptions!$C$11)</f>
        <v/>
      </c>
      <c r="L8" s="97">
        <f>L6+((1-L6)*Assumptions!$C$11)</f>
        <v/>
      </c>
      <c r="M8" s="97">
        <f>M6+((1-M6)*Assumptions!$C$11)</f>
        <v/>
      </c>
      <c r="N8" s="97">
        <f>N6+((1-N6)*Assumptions!$C$11)</f>
        <v/>
      </c>
      <c r="O8" s="97">
        <f>O6+((1-O6)*Assumptions!$C$11)</f>
        <v/>
      </c>
      <c r="P8" s="97">
        <f>P6+((1-P6)*Assumptions!$C$11)</f>
        <v/>
      </c>
      <c r="Q8" s="97">
        <f>AVERAGE(E8:P8)</f>
        <v/>
      </c>
    </row>
    <row r="9">
      <c r="D9" s="92" t="inlineStr">
        <is>
          <t>% Not Covered Claims</t>
        </is>
      </c>
      <c r="E9" s="97">
        <f>1-E8</f>
        <v/>
      </c>
      <c r="F9" s="97">
        <f>1-F8</f>
        <v/>
      </c>
      <c r="G9" s="97">
        <f>1-G8</f>
        <v/>
      </c>
      <c r="H9" s="97">
        <f>1-H8</f>
        <v/>
      </c>
      <c r="I9" s="97">
        <f>1-I8</f>
        <v/>
      </c>
      <c r="J9" s="97">
        <f>1-J8</f>
        <v/>
      </c>
      <c r="K9" s="97">
        <f>1-K8</f>
        <v/>
      </c>
      <c r="L9" s="97">
        <f>1-L8</f>
        <v/>
      </c>
      <c r="M9" s="97">
        <f>1-M8</f>
        <v/>
      </c>
      <c r="N9" s="97">
        <f>1-N8</f>
        <v/>
      </c>
      <c r="O9" s="97">
        <f>1-O8</f>
        <v/>
      </c>
      <c r="P9" s="97">
        <f>1-P8</f>
        <v/>
      </c>
      <c r="Q9" s="97">
        <f>AVERAGE(E9:P9)</f>
        <v/>
      </c>
    </row>
    <row r="10">
      <c r="D10" s="92" t="inlineStr">
        <is>
          <t>% Met Deductible</t>
        </is>
      </c>
      <c r="E10" s="97">
        <f>Assumptions!C36</f>
        <v/>
      </c>
      <c r="F10" s="97">
        <f>Assumptions!C37</f>
        <v/>
      </c>
      <c r="G10" s="97">
        <f>Assumptions!C38</f>
        <v/>
      </c>
      <c r="H10" s="97">
        <f>Assumptions!C39</f>
        <v/>
      </c>
      <c r="I10" s="97">
        <f>Assumptions!C40</f>
        <v/>
      </c>
      <c r="J10" s="97">
        <f>Assumptions!C41</f>
        <v/>
      </c>
      <c r="K10" s="97">
        <f>Assumptions!C42</f>
        <v/>
      </c>
      <c r="L10" s="97">
        <f>Assumptions!C43</f>
        <v/>
      </c>
      <c r="M10" s="97">
        <f>Assumptions!C44</f>
        <v/>
      </c>
      <c r="N10" s="97">
        <f>Assumptions!C45</f>
        <v/>
      </c>
      <c r="O10" s="97">
        <f>Assumptions!C46</f>
        <v/>
      </c>
      <c r="P10" s="97">
        <f>Assumptions!C47</f>
        <v/>
      </c>
      <c r="Q10" s="97" t="n"/>
    </row>
    <row r="11">
      <c r="D11" s="92" t="inlineStr">
        <is>
          <t>% Copay Structure</t>
        </is>
      </c>
      <c r="E11" s="97">
        <f>Assumptions!$C$14</f>
        <v/>
      </c>
      <c r="F11" s="97">
        <f>Assumptions!$C$14</f>
        <v/>
      </c>
      <c r="G11" s="97">
        <f>Assumptions!$C$14</f>
        <v/>
      </c>
      <c r="H11" s="97">
        <f>Assumptions!$C$14</f>
        <v/>
      </c>
      <c r="I11" s="97">
        <f>Assumptions!$C$14</f>
        <v/>
      </c>
      <c r="J11" s="97">
        <f>Assumptions!$C$14</f>
        <v/>
      </c>
      <c r="K11" s="97">
        <f>Assumptions!$C$14</f>
        <v/>
      </c>
      <c r="L11" s="97">
        <f>Assumptions!$C$14</f>
        <v/>
      </c>
      <c r="M11" s="97">
        <f>Assumptions!$C$14</f>
        <v/>
      </c>
      <c r="N11" s="97">
        <f>Assumptions!$C$14</f>
        <v/>
      </c>
      <c r="O11" s="97">
        <f>Assumptions!$C$14</f>
        <v/>
      </c>
      <c r="P11" s="97">
        <f>Assumptions!$C$14</f>
        <v/>
      </c>
      <c r="Q11" s="97" t="n"/>
    </row>
    <row r="12">
      <c r="D12" s="92" t="inlineStr">
        <is>
          <t>Copay Amount</t>
        </is>
      </c>
      <c r="E12" s="99">
        <f>Assumptions!$C$16</f>
        <v/>
      </c>
      <c r="F12" s="99">
        <f>Assumptions!$C$16</f>
        <v/>
      </c>
      <c r="G12" s="99">
        <f>Assumptions!$C$16</f>
        <v/>
      </c>
      <c r="H12" s="99">
        <f>Assumptions!$C$16</f>
        <v/>
      </c>
      <c r="I12" s="99">
        <f>Assumptions!$C$16</f>
        <v/>
      </c>
      <c r="J12" s="99">
        <f>Assumptions!$C$16</f>
        <v/>
      </c>
      <c r="K12" s="99">
        <f>Assumptions!$C$16</f>
        <v/>
      </c>
      <c r="L12" s="99">
        <f>Assumptions!$C$16</f>
        <v/>
      </c>
      <c r="M12" s="99">
        <f>Assumptions!$C$16</f>
        <v/>
      </c>
      <c r="N12" s="99">
        <f>Assumptions!$C$16</f>
        <v/>
      </c>
      <c r="O12" s="99">
        <f>Assumptions!$C$16</f>
        <v/>
      </c>
      <c r="P12" s="99">
        <f>Assumptions!$C$16</f>
        <v/>
      </c>
      <c r="Q12" s="100" t="n"/>
    </row>
    <row r="13">
      <c r="D13" s="92" t="inlineStr">
        <is>
          <t>Copay Buydown</t>
        </is>
      </c>
      <c r="E13" s="101">
        <f>E12-Assumptions!$C$9</f>
        <v/>
      </c>
      <c r="F13" s="101">
        <f>F12-Assumptions!$C$9</f>
        <v/>
      </c>
      <c r="G13" s="101">
        <f>G12-Assumptions!$C$9</f>
        <v/>
      </c>
      <c r="H13" s="101">
        <f>H12-Assumptions!$C$9</f>
        <v/>
      </c>
      <c r="I13" s="101">
        <f>I12-Assumptions!$C$9</f>
        <v/>
      </c>
      <c r="J13" s="101">
        <f>J12-Assumptions!$C$9</f>
        <v/>
      </c>
      <c r="K13" s="101">
        <f>K12-Assumptions!$C$9</f>
        <v/>
      </c>
      <c r="L13" s="101">
        <f>L12-Assumptions!$C$9</f>
        <v/>
      </c>
      <c r="M13" s="101">
        <f>M12-Assumptions!$C$9</f>
        <v/>
      </c>
      <c r="N13" s="101">
        <f>N12-Assumptions!$C$9</f>
        <v/>
      </c>
      <c r="O13" s="101">
        <f>O12-Assumptions!$C$9</f>
        <v/>
      </c>
      <c r="P13" s="101">
        <f>P12-Assumptions!$C$9</f>
        <v/>
      </c>
      <c r="Q13" s="101" t="n"/>
    </row>
    <row r="14">
      <c r="D14" s="92" t="inlineStr">
        <is>
          <t>% Coinsurance Structure</t>
        </is>
      </c>
      <c r="E14" s="97">
        <f>Assumptions!$C$15</f>
        <v/>
      </c>
      <c r="F14" s="97">
        <f>Assumptions!$C$15</f>
        <v/>
      </c>
      <c r="G14" s="97">
        <f>Assumptions!$C$15</f>
        <v/>
      </c>
      <c r="H14" s="97">
        <f>Assumptions!$C$15</f>
        <v/>
      </c>
      <c r="I14" s="97">
        <f>Assumptions!$C$15</f>
        <v/>
      </c>
      <c r="J14" s="97">
        <f>Assumptions!$C$15</f>
        <v/>
      </c>
      <c r="K14" s="97">
        <f>Assumptions!$C$15</f>
        <v/>
      </c>
      <c r="L14" s="97">
        <f>Assumptions!$C$15</f>
        <v/>
      </c>
      <c r="M14" s="97">
        <f>Assumptions!$C$15</f>
        <v/>
      </c>
      <c r="N14" s="97">
        <f>Assumptions!$C$15</f>
        <v/>
      </c>
      <c r="O14" s="97">
        <f>Assumptions!$C$15</f>
        <v/>
      </c>
      <c r="P14" s="97">
        <f>Assumptions!$C$15</f>
        <v/>
      </c>
      <c r="Q14" s="97" t="n"/>
    </row>
    <row r="15">
      <c r="D15" s="92" t="inlineStr">
        <is>
          <t>Coinsurance Amount</t>
        </is>
      </c>
      <c r="E15" s="99">
        <f>Assumptions!$C$17*Assumptions!$C$8</f>
        <v/>
      </c>
      <c r="F15" s="99">
        <f>Assumptions!$C$17*Assumptions!$C$8</f>
        <v/>
      </c>
      <c r="G15" s="99">
        <f>Assumptions!$C$17*Assumptions!$C$8</f>
        <v/>
      </c>
      <c r="H15" s="99">
        <f>Assumptions!$C$17*Assumptions!$C$8</f>
        <v/>
      </c>
      <c r="I15" s="99">
        <f>Assumptions!$C$17*Assumptions!$C$8</f>
        <v/>
      </c>
      <c r="J15" s="99">
        <f>Assumptions!$C$17*Assumptions!$C$8</f>
        <v/>
      </c>
      <c r="K15" s="99">
        <f>Assumptions!$C$17*Assumptions!$C$8</f>
        <v/>
      </c>
      <c r="L15" s="99">
        <f>Assumptions!$C$17*Assumptions!$C$8</f>
        <v/>
      </c>
      <c r="M15" s="99">
        <f>Assumptions!$C$17*Assumptions!$C$8</f>
        <v/>
      </c>
      <c r="N15" s="99">
        <f>Assumptions!$C$17*Assumptions!$C$8</f>
        <v/>
      </c>
      <c r="O15" s="99">
        <f>Assumptions!$C$17*Assumptions!$C$8</f>
        <v/>
      </c>
      <c r="P15" s="99">
        <f>Assumptions!$C$17*Assumptions!$C$8</f>
        <v/>
      </c>
      <c r="Q15" s="100" t="n"/>
    </row>
    <row r="16">
      <c r="D16" s="92" t="inlineStr">
        <is>
          <t>Coinsurance Buydown</t>
        </is>
      </c>
      <c r="E16" s="101">
        <f>E15-Assumptions!$C$9</f>
        <v/>
      </c>
      <c r="F16" s="101">
        <f>F15-Assumptions!$C$9</f>
        <v/>
      </c>
      <c r="G16" s="101">
        <f>G15-Assumptions!$C$9</f>
        <v/>
      </c>
      <c r="H16" s="101">
        <f>H15-Assumptions!$C$9</f>
        <v/>
      </c>
      <c r="I16" s="101">
        <f>I15-Assumptions!$C$9</f>
        <v/>
      </c>
      <c r="J16" s="101">
        <f>J15-Assumptions!$C$9</f>
        <v/>
      </c>
      <c r="K16" s="101">
        <f>K15-Assumptions!$C$9</f>
        <v/>
      </c>
      <c r="L16" s="101">
        <f>L15-Assumptions!$C$9</f>
        <v/>
      </c>
      <c r="M16" s="101">
        <f>M15-Assumptions!$C$9</f>
        <v/>
      </c>
      <c r="N16" s="101">
        <f>N15-Assumptions!$C$9</f>
        <v/>
      </c>
      <c r="O16" s="101">
        <f>O15-Assumptions!$C$9</f>
        <v/>
      </c>
      <c r="P16" s="101">
        <f>P15-Assumptions!$C$9</f>
        <v/>
      </c>
      <c r="Q16" s="101" t="n"/>
    </row>
    <row r="17">
      <c r="D17" s="92" t="inlineStr">
        <is>
          <t>Not Met Deductible Buydown</t>
        </is>
      </c>
      <c r="E17" s="99">
        <f>Assumptions!$C$8-Assumptions!$C$9</f>
        <v/>
      </c>
      <c r="F17" s="99">
        <f>Assumptions!$C$8-Assumptions!$C$9</f>
        <v/>
      </c>
      <c r="G17" s="99">
        <f>Assumptions!$C$8-Assumptions!$C$9</f>
        <v/>
      </c>
      <c r="H17" s="99">
        <f>Assumptions!$C$8-Assumptions!$C$9</f>
        <v/>
      </c>
      <c r="I17" s="99">
        <f>Assumptions!$C$8-Assumptions!$C$9</f>
        <v/>
      </c>
      <c r="J17" s="99">
        <f>Assumptions!$C$8-Assumptions!$C$9</f>
        <v/>
      </c>
      <c r="K17" s="99">
        <f>Assumptions!$C$8-Assumptions!$C$9</f>
        <v/>
      </c>
      <c r="L17" s="99">
        <f>Assumptions!$C$8-Assumptions!$C$9</f>
        <v/>
      </c>
      <c r="M17" s="99">
        <f>Assumptions!$C$8-Assumptions!$C$9</f>
        <v/>
      </c>
      <c r="N17" s="99">
        <f>Assumptions!$C$8-Assumptions!$C$9</f>
        <v/>
      </c>
      <c r="O17" s="99">
        <f>Assumptions!$C$8-Assumptions!$C$9</f>
        <v/>
      </c>
      <c r="P17" s="99">
        <f>Assumptions!$C$8-Assumptions!$C$9</f>
        <v/>
      </c>
      <c r="Q17" s="100" t="n"/>
    </row>
    <row r="18">
      <c r="D18" s="92" t="inlineStr">
        <is>
          <t>Avg Covered Discount %</t>
        </is>
      </c>
      <c r="E18" s="102">
        <f>((E11*E13/Assumptions!$C$8)+(E14*E16/Assumptions!$C$8))*E10+((1-E10)*E17/Assumptions!$C$8)</f>
        <v/>
      </c>
      <c r="F18" s="102">
        <f>((F11*F13/Assumptions!$C$8)+(F14*F16/Assumptions!$C$8))*F10+((1-F10)*F17/Assumptions!$C$8)</f>
        <v/>
      </c>
      <c r="G18" s="102">
        <f>((G11*G13/Assumptions!$C$8)+(G14*G16/Assumptions!$C$8))*G10+((1-G10)*G17/Assumptions!$C$8)</f>
        <v/>
      </c>
      <c r="H18" s="102">
        <f>((H11*H13/Assumptions!$C$8)+(H14*H16/Assumptions!$C$8))*H10+((1-H10)*H17/Assumptions!$C$8)</f>
        <v/>
      </c>
      <c r="I18" s="102">
        <f>((I11*I13/Assumptions!$C$8)+(I14*I16/Assumptions!$C$8))*I10+((1-I10)*I17/Assumptions!$C$8)</f>
        <v/>
      </c>
      <c r="J18" s="102">
        <f>((J11*J13/Assumptions!$C$8)+(J14*J16/Assumptions!$C$8))*J10+((1-J10)*J17/Assumptions!$C$8)</f>
        <v/>
      </c>
      <c r="K18" s="102">
        <f>((K11*K13/Assumptions!$C$8)+(K14*K16/Assumptions!$C$8))*K10+((1-K10)*K17/Assumptions!$C$8)</f>
        <v/>
      </c>
      <c r="L18" s="102">
        <f>((L11*L13/Assumptions!$C$8)+(L14*L16/Assumptions!$C$8))*L10+((1-L10)*L17/Assumptions!$C$8)</f>
        <v/>
      </c>
      <c r="M18" s="102">
        <f>((M11*M13/Assumptions!$C$8)+(M14*M16/Assumptions!$C$8))*M10+((1-M10)*M17/Assumptions!$C$8)</f>
        <v/>
      </c>
      <c r="N18" s="102">
        <f>((N11*N13/Assumptions!$C$8)+(N14*N16/Assumptions!$C$8))*N10+((1-N10)*N17/Assumptions!$C$8)</f>
        <v/>
      </c>
      <c r="O18" s="102">
        <f>((O11*O13/Assumptions!$C$8)+(O14*O16/Assumptions!$C$8))*O10+((1-O10)*O17/Assumptions!$C$8)</f>
        <v/>
      </c>
      <c r="P18" s="102">
        <f>((P11*P13/Assumptions!$C$8)+(P14*P16/Assumptions!$C$8))*P10+((1-P10)*P17/Assumptions!$C$8)</f>
        <v/>
      </c>
      <c r="Q18" s="102">
        <f>AVERAGE(E18:P18)</f>
        <v/>
      </c>
    </row>
    <row r="19">
      <c r="D19" s="92" t="inlineStr">
        <is>
          <t>Avg Covered Benefit ($)</t>
        </is>
      </c>
      <c r="E19" s="101">
        <f>E18*Assumptions!$C$8</f>
        <v/>
      </c>
      <c r="F19" s="101">
        <f>F18*Assumptions!$C$8</f>
        <v/>
      </c>
      <c r="G19" s="101">
        <f>G18*Assumptions!$C$8</f>
        <v/>
      </c>
      <c r="H19" s="101">
        <f>H18*Assumptions!$C$8</f>
        <v/>
      </c>
      <c r="I19" s="101">
        <f>I18*Assumptions!$C$8</f>
        <v/>
      </c>
      <c r="J19" s="101">
        <f>J18*Assumptions!$C$8</f>
        <v/>
      </c>
      <c r="K19" s="101">
        <f>K18*Assumptions!$C$8</f>
        <v/>
      </c>
      <c r="L19" s="101">
        <f>L18*Assumptions!$C$8</f>
        <v/>
      </c>
      <c r="M19" s="101">
        <f>M18*Assumptions!$C$8</f>
        <v/>
      </c>
      <c r="N19" s="101">
        <f>N18*Assumptions!$C$8</f>
        <v/>
      </c>
      <c r="O19" s="101">
        <f>O18*Assumptions!$C$8</f>
        <v/>
      </c>
      <c r="P19" s="101">
        <f>P18*Assumptions!$C$8</f>
        <v/>
      </c>
      <c r="Q19" s="101">
        <f>AVERAGE(E19:P19)</f>
        <v/>
      </c>
    </row>
    <row r="20">
      <c r="D20" s="92" t="inlineStr">
        <is>
          <t>Not Covered Benefit ($)</t>
        </is>
      </c>
      <c r="E20" s="101">
        <f>Assumptions!$C$18</f>
        <v/>
      </c>
      <c r="F20" s="101">
        <f>Assumptions!$C$18</f>
        <v/>
      </c>
      <c r="G20" s="101">
        <f>Assumptions!$C$18</f>
        <v/>
      </c>
      <c r="H20" s="101">
        <f>Assumptions!$C$18</f>
        <v/>
      </c>
      <c r="I20" s="101">
        <f>Assumptions!$C$18</f>
        <v/>
      </c>
      <c r="J20" s="101">
        <f>Assumptions!$C$18</f>
        <v/>
      </c>
      <c r="K20" s="101">
        <f>Assumptions!$C$18</f>
        <v/>
      </c>
      <c r="L20" s="101">
        <f>Assumptions!$C$18</f>
        <v/>
      </c>
      <c r="M20" s="101">
        <f>Assumptions!$C$18</f>
        <v/>
      </c>
      <c r="N20" s="101">
        <f>Assumptions!$C$18</f>
        <v/>
      </c>
      <c r="O20" s="101">
        <f>Assumptions!$C$18</f>
        <v/>
      </c>
      <c r="P20" s="101">
        <f>Assumptions!$C$18</f>
        <v/>
      </c>
      <c r="Q20" s="101" t="n"/>
    </row>
    <row r="21">
      <c r="D21" s="92" t="inlineStr">
        <is>
          <t>Redemption Rate</t>
        </is>
      </c>
      <c r="E21" s="101">
        <f>Assumptions!$C$10</f>
        <v/>
      </c>
      <c r="F21" s="101">
        <f>Assumptions!$C$10</f>
        <v/>
      </c>
      <c r="G21" s="101">
        <f>Assumptions!$C$10</f>
        <v/>
      </c>
      <c r="H21" s="101">
        <f>Assumptions!$C$10</f>
        <v/>
      </c>
      <c r="I21" s="101">
        <f>Assumptions!$C$10</f>
        <v/>
      </c>
      <c r="J21" s="101">
        <f>Assumptions!$C$10</f>
        <v/>
      </c>
      <c r="K21" s="101">
        <f>Assumptions!$C$10</f>
        <v/>
      </c>
      <c r="L21" s="101">
        <f>Assumptions!$C$10</f>
        <v/>
      </c>
      <c r="M21" s="101">
        <f>Assumptions!$C$10</f>
        <v/>
      </c>
      <c r="N21" s="101">
        <f>Assumptions!$C$10</f>
        <v/>
      </c>
      <c r="O21" s="101">
        <f>Assumptions!$C$10</f>
        <v/>
      </c>
      <c r="P21" s="101">
        <f>Assumptions!$C$10</f>
        <v/>
      </c>
      <c r="Q21" s="101" t="n"/>
    </row>
    <row r="22">
      <c r="D22" s="92" t="inlineStr">
        <is>
          <t>WAC Price</t>
        </is>
      </c>
      <c r="E22" s="101">
        <f>Assumptions!$C$8</f>
        <v/>
      </c>
      <c r="F22" s="101">
        <f>Assumptions!$C$8</f>
        <v/>
      </c>
      <c r="G22" s="101">
        <f>Assumptions!$C$8</f>
        <v/>
      </c>
      <c r="H22" s="101">
        <f>Assumptions!$C$8</f>
        <v/>
      </c>
      <c r="I22" s="101">
        <f>Assumptions!$C$8</f>
        <v/>
      </c>
      <c r="J22" s="101">
        <f>Assumptions!$C$8</f>
        <v/>
      </c>
      <c r="K22" s="101">
        <f>Assumptions!$C$8</f>
        <v/>
      </c>
      <c r="L22" s="101">
        <f>Assumptions!$C$8</f>
        <v/>
      </c>
      <c r="M22" s="101">
        <f>Assumptions!$C$8</f>
        <v/>
      </c>
      <c r="N22" s="101">
        <f>Assumptions!$C$8</f>
        <v/>
      </c>
      <c r="O22" s="101">
        <f>Assumptions!$C$8</f>
        <v/>
      </c>
      <c r="P22" s="101">
        <f>Assumptions!$C$8</f>
        <v/>
      </c>
      <c r="Q22" s="101" t="n"/>
    </row>
    <row r="23">
      <c r="D23" s="103" t="inlineStr">
        <is>
          <t>Covered Program Costs</t>
        </is>
      </c>
      <c r="E23" s="104">
        <f>E4*E21*E19</f>
        <v/>
      </c>
      <c r="F23" s="104">
        <f>F4*F21*F19</f>
        <v/>
      </c>
      <c r="G23" s="104">
        <f>G4*G21*G19</f>
        <v/>
      </c>
      <c r="H23" s="104">
        <f>H4*H21*H19</f>
        <v/>
      </c>
      <c r="I23" s="104">
        <f>I4*I21*I19</f>
        <v/>
      </c>
      <c r="J23" s="104">
        <f>J4*J21*J19</f>
        <v/>
      </c>
      <c r="K23" s="104">
        <f>K4*K21*K19</f>
        <v/>
      </c>
      <c r="L23" s="104">
        <f>L4*L21*L19</f>
        <v/>
      </c>
      <c r="M23" s="104">
        <f>M4*M21*M19</f>
        <v/>
      </c>
      <c r="N23" s="104">
        <f>N4*N21*N19</f>
        <v/>
      </c>
      <c r="O23" s="104">
        <f>O4*O21*O19</f>
        <v/>
      </c>
      <c r="P23" s="104">
        <f>P4*P21*P19</f>
        <v/>
      </c>
      <c r="Q23" s="104">
        <f>SUM(E23:P23)</f>
        <v/>
      </c>
    </row>
    <row r="24">
      <c r="D24" s="103" t="inlineStr">
        <is>
          <t>Not Covered Program Costs</t>
        </is>
      </c>
      <c r="E24" s="104">
        <f>E5*E7*E21*E20</f>
        <v/>
      </c>
      <c r="F24" s="104">
        <f>F5*F7*F21*F20</f>
        <v/>
      </c>
      <c r="G24" s="104">
        <f>G5*G7*G21*G20</f>
        <v/>
      </c>
      <c r="H24" s="104">
        <f>H5*H7*H21*H20</f>
        <v/>
      </c>
      <c r="I24" s="104">
        <f>I5*I7*I21*I20</f>
        <v/>
      </c>
      <c r="J24" s="104">
        <f>J5*J7*J21*J20</f>
        <v/>
      </c>
      <c r="K24" s="104">
        <f>K5*K7*K21*K20</f>
        <v/>
      </c>
      <c r="L24" s="104">
        <f>L5*L7*L21*L20</f>
        <v/>
      </c>
      <c r="M24" s="104">
        <f>M5*M7*M21*M20</f>
        <v/>
      </c>
      <c r="N24" s="104">
        <f>N5*N7*N21*N20</f>
        <v/>
      </c>
      <c r="O24" s="104">
        <f>O5*O7*O21*O20</f>
        <v/>
      </c>
      <c r="P24" s="104">
        <f>P5*P7*P21*P20</f>
        <v/>
      </c>
      <c r="Q24" s="104">
        <f>SUM(E24:P24)</f>
        <v/>
      </c>
    </row>
    <row r="25" ht="15.75" customHeight="1" s="74">
      <c r="D25" s="105" t="inlineStr">
        <is>
          <t>TOTAL PROGRAM COSTS</t>
        </is>
      </c>
      <c r="E25" s="106">
        <f>E23+E24</f>
        <v/>
      </c>
      <c r="F25" s="106">
        <f>F23+F24</f>
        <v/>
      </c>
      <c r="G25" s="106">
        <f>G23+G24</f>
        <v/>
      </c>
      <c r="H25" s="106">
        <f>H23+H24</f>
        <v/>
      </c>
      <c r="I25" s="106">
        <f>I23+I24</f>
        <v/>
      </c>
      <c r="J25" s="106">
        <f>J23+J24</f>
        <v/>
      </c>
      <c r="K25" s="106">
        <f>K23+K24</f>
        <v/>
      </c>
      <c r="L25" s="106">
        <f>L23+L24</f>
        <v/>
      </c>
      <c r="M25" s="106">
        <f>M23+M24</f>
        <v/>
      </c>
      <c r="N25" s="106">
        <f>N23+N24</f>
        <v/>
      </c>
      <c r="O25" s="106">
        <f>O23+O24</f>
        <v/>
      </c>
      <c r="P25" s="106">
        <f>P23+P24</f>
        <v/>
      </c>
      <c r="Q25" s="106">
        <f>SUM(E25:P25)</f>
        <v/>
      </c>
    </row>
    <row r="26">
      <c r="D26" s="105" t="inlineStr">
        <is>
          <t>Gross Demand Sales</t>
        </is>
      </c>
      <c r="E26" s="106">
        <f>(E4+E5)*E22</f>
        <v/>
      </c>
      <c r="F26" s="106">
        <f>(F4+F5)*F22</f>
        <v/>
      </c>
      <c r="G26" s="106">
        <f>(G4+G5)*G22</f>
        <v/>
      </c>
      <c r="H26" s="106">
        <f>(H4+H5)*H22</f>
        <v/>
      </c>
      <c r="I26" s="106">
        <f>(I4+I5)*I22</f>
        <v/>
      </c>
      <c r="J26" s="106">
        <f>(J4+J5)*J22</f>
        <v/>
      </c>
      <c r="K26" s="106">
        <f>(K4+K5)*K22</f>
        <v/>
      </c>
      <c r="L26" s="106">
        <f>(L4+L5)*L22</f>
        <v/>
      </c>
      <c r="M26" s="106">
        <f>(M4+M5)*M22</f>
        <v/>
      </c>
      <c r="N26" s="106">
        <f>(N4+N5)*N22</f>
        <v/>
      </c>
      <c r="O26" s="106">
        <f>(O4+O5)*O22</f>
        <v/>
      </c>
      <c r="P26" s="106">
        <f>(P4+P5)*P22</f>
        <v/>
      </c>
      <c r="Q26" s="106">
        <f>SUM(E26:P26)</f>
        <v/>
      </c>
    </row>
    <row r="27" ht="15.75" customHeight="1" s="74">
      <c r="D27" s="105" t="inlineStr">
        <is>
          <t>GTN % (Copay/Denial)</t>
        </is>
      </c>
      <c r="E27" s="107">
        <f>IFERROR(E25/E26,0)</f>
        <v/>
      </c>
      <c r="F27" s="107">
        <f>IFERROR(F25/F26,0)</f>
        <v/>
      </c>
      <c r="G27" s="107">
        <f>IFERROR(G25/G26,0)</f>
        <v/>
      </c>
      <c r="H27" s="107">
        <f>IFERROR(H25/H26,0)</f>
        <v/>
      </c>
      <c r="I27" s="107">
        <f>IFERROR(I25/I26,0)</f>
        <v/>
      </c>
      <c r="J27" s="107">
        <f>IFERROR(J25/J26,0)</f>
        <v/>
      </c>
      <c r="K27" s="107">
        <f>IFERROR(K25/K26,0)</f>
        <v/>
      </c>
      <c r="L27" s="107">
        <f>IFERROR(L25/L26,0)</f>
        <v/>
      </c>
      <c r="M27" s="107">
        <f>IFERROR(M25/M26,0)</f>
        <v/>
      </c>
      <c r="N27" s="107">
        <f>IFERROR(N25/N26,0)</f>
        <v/>
      </c>
      <c r="O27" s="107">
        <f>IFERROR(O25/O26,0)</f>
        <v/>
      </c>
      <c r="P27" s="107">
        <f>IFERROR(P25/P26,0)</f>
        <v/>
      </c>
      <c r="Q27" s="107">
        <f>IFERROR(Q25/Q26,0)</f>
        <v/>
      </c>
      <c r="R27" s="28" t="n"/>
    </row>
    <row r="28">
      <c r="D28" s="92" t="inlineStr">
        <is>
          <t>Net Sales (After GTN)</t>
        </is>
      </c>
      <c r="E28" s="99">
        <f>E26-E25</f>
        <v/>
      </c>
      <c r="F28" s="99">
        <f>F26-F25</f>
        <v/>
      </c>
      <c r="G28" s="99">
        <f>G26-G25</f>
        <v/>
      </c>
      <c r="H28" s="99">
        <f>H26-H25</f>
        <v/>
      </c>
      <c r="I28" s="99">
        <f>I26-I25</f>
        <v/>
      </c>
      <c r="J28" s="99">
        <f>J26-J25</f>
        <v/>
      </c>
      <c r="K28" s="99">
        <f>K26-K25</f>
        <v/>
      </c>
      <c r="L28" s="99">
        <f>L26-L25</f>
        <v/>
      </c>
      <c r="M28" s="99">
        <f>M26-M25</f>
        <v/>
      </c>
      <c r="N28" s="99">
        <f>N26-N25</f>
        <v/>
      </c>
      <c r="O28" s="99">
        <f>O26-O25</f>
        <v/>
      </c>
      <c r="P28" s="99">
        <f>P26-P25</f>
        <v/>
      </c>
      <c r="Q28" s="99">
        <f>SUM(E28:P28)</f>
        <v/>
      </c>
    </row>
    <row r="29">
      <c r="D29" s="92" t="n"/>
      <c r="E29" s="99" t="n">
        <v>0</v>
      </c>
      <c r="F29" s="99" t="n">
        <v>43113.2052648</v>
      </c>
      <c r="G29" s="99" t="n">
        <v>79754.20793600002</v>
      </c>
      <c r="H29" s="99" t="n">
        <v>140956.9144064</v>
      </c>
      <c r="I29" s="99" t="n">
        <v>307615.9167751999</v>
      </c>
      <c r="J29" s="99" t="n">
        <v>684082.2960644</v>
      </c>
      <c r="K29" s="99" t="n">
        <v>1288063.8161392</v>
      </c>
      <c r="L29" s="99" t="n">
        <v>1852001.4307984</v>
      </c>
      <c r="M29" s="99" t="n">
        <v>2616524.4276912</v>
      </c>
      <c r="N29" s="99" t="n">
        <v>3497864.249408801</v>
      </c>
      <c r="O29" s="99" t="n">
        <v>4253341.418862399</v>
      </c>
      <c r="P29" s="99" t="n">
        <v>5039894.176564</v>
      </c>
      <c r="Q29" s="99">
        <f>+SUM(E29:P29)</f>
        <v/>
      </c>
    </row>
    <row r="30">
      <c r="D30" t="inlineStr">
        <is>
          <t>Change</t>
        </is>
      </c>
      <c r="E30" s="22">
        <f>+E28-E29</f>
        <v/>
      </c>
      <c r="F30" s="22">
        <f>+F28-F29</f>
        <v/>
      </c>
      <c r="G30" s="22">
        <f>+G28-G29</f>
        <v/>
      </c>
      <c r="H30" s="22">
        <f>+H28-H29</f>
        <v/>
      </c>
      <c r="I30" s="22">
        <f>+I28-I29</f>
        <v/>
      </c>
      <c r="J30" s="22">
        <f>+J28-J29</f>
        <v/>
      </c>
      <c r="K30" s="22">
        <f>+K28-K29</f>
        <v/>
      </c>
      <c r="L30" s="22">
        <f>+L28-L29</f>
        <v/>
      </c>
      <c r="M30" s="22">
        <f>+M28-M29</f>
        <v/>
      </c>
      <c r="N30" s="22">
        <f>+N28-N29</f>
        <v/>
      </c>
      <c r="O30" s="22">
        <f>+O28-O29</f>
        <v/>
      </c>
      <c r="P30" s="22">
        <f>+P28-P29</f>
        <v/>
      </c>
      <c r="Q30" s="22">
        <f>+Q28-Q29</f>
        <v/>
      </c>
    </row>
  </sheetData>
  <mergeCells count="1">
    <mergeCell ref="E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H26"/>
  <sheetViews>
    <sheetView showGridLines="0" workbookViewId="0">
      <selection activeCell="S24" sqref="S24"/>
    </sheetView>
  </sheetViews>
  <sheetFormatPr baseColWidth="8" defaultRowHeight="15"/>
  <cols>
    <col width="20" customWidth="1" style="74" min="1" max="1"/>
    <col width="12" customWidth="1" style="74" min="2" max="2"/>
    <col width="15" customWidth="1" style="74" min="3" max="6"/>
  </cols>
  <sheetData>
    <row r="4" ht="23.25" customHeight="1" s="74">
      <c r="A4" s="73" t="n"/>
    </row>
    <row r="6">
      <c r="A6" s="29" t="inlineStr">
        <is>
          <t>Month</t>
        </is>
      </c>
      <c r="B6" s="29" t="inlineStr">
        <is>
          <t>GTN %</t>
        </is>
      </c>
      <c r="C6" s="29" t="inlineStr">
        <is>
          <t>Coverage %</t>
        </is>
      </c>
      <c r="D6" s="29" t="inlineStr">
        <is>
          <t>Covered Cost</t>
        </is>
      </c>
      <c r="E6" s="29" t="inlineStr">
        <is>
          <t>Not Covered Cost</t>
        </is>
      </c>
      <c r="F6" s="29" t="inlineStr">
        <is>
          <t>Total Cost</t>
        </is>
      </c>
    </row>
    <row r="7">
      <c r="A7" t="inlineStr">
        <is>
          <t>Jan</t>
        </is>
      </c>
      <c r="B7" s="23">
        <f>Model!E27</f>
        <v/>
      </c>
      <c r="C7" s="19">
        <f>Model!E6</f>
        <v/>
      </c>
      <c r="D7" s="22">
        <f>Model!E23</f>
        <v/>
      </c>
      <c r="E7" s="22">
        <f>Model!E24</f>
        <v/>
      </c>
      <c r="F7" s="22">
        <f>Model!E25</f>
        <v/>
      </c>
    </row>
    <row r="8">
      <c r="A8" t="inlineStr">
        <is>
          <t>Feb</t>
        </is>
      </c>
      <c r="B8" s="23">
        <f>Model!F27</f>
        <v/>
      </c>
      <c r="C8" s="19">
        <f>Model!F6</f>
        <v/>
      </c>
      <c r="D8" s="22">
        <f>Model!F23</f>
        <v/>
      </c>
      <c r="E8" s="22">
        <f>Model!F24</f>
        <v/>
      </c>
      <c r="F8" s="22">
        <f>Model!F25</f>
        <v/>
      </c>
    </row>
    <row r="9">
      <c r="A9" t="inlineStr">
        <is>
          <t>Mar</t>
        </is>
      </c>
      <c r="B9" s="23">
        <f>Model!G27</f>
        <v/>
      </c>
      <c r="C9" s="19">
        <f>Model!G6</f>
        <v/>
      </c>
      <c r="D9" s="22">
        <f>Model!G23</f>
        <v/>
      </c>
      <c r="E9" s="22">
        <f>Model!G24</f>
        <v/>
      </c>
      <c r="F9" s="22">
        <f>Model!G25</f>
        <v/>
      </c>
    </row>
    <row r="10">
      <c r="A10" t="inlineStr">
        <is>
          <t>Apr</t>
        </is>
      </c>
      <c r="B10" s="23">
        <f>Model!H27</f>
        <v/>
      </c>
      <c r="C10" s="19">
        <f>Model!H6</f>
        <v/>
      </c>
      <c r="D10" s="22">
        <f>Model!H23</f>
        <v/>
      </c>
      <c r="E10" s="22">
        <f>Model!H24</f>
        <v/>
      </c>
      <c r="F10" s="22">
        <f>Model!H25</f>
        <v/>
      </c>
    </row>
    <row r="11">
      <c r="A11" t="inlineStr">
        <is>
          <t>May</t>
        </is>
      </c>
      <c r="B11" s="23">
        <f>Model!I27</f>
        <v/>
      </c>
      <c r="C11" s="19">
        <f>Model!I6</f>
        <v/>
      </c>
      <c r="D11" s="22">
        <f>Model!I23</f>
        <v/>
      </c>
      <c r="E11" s="22">
        <f>Model!I24</f>
        <v/>
      </c>
      <c r="F11" s="22">
        <f>Model!I25</f>
        <v/>
      </c>
    </row>
    <row r="12">
      <c r="A12" t="inlineStr">
        <is>
          <t>Jun</t>
        </is>
      </c>
      <c r="B12" s="23">
        <f>Model!J27</f>
        <v/>
      </c>
      <c r="C12" s="19">
        <f>Model!J6</f>
        <v/>
      </c>
      <c r="D12" s="22">
        <f>Model!J23</f>
        <v/>
      </c>
      <c r="E12" s="22">
        <f>Model!J24</f>
        <v/>
      </c>
      <c r="F12" s="22">
        <f>Model!J25</f>
        <v/>
      </c>
    </row>
    <row r="13">
      <c r="A13" t="inlineStr">
        <is>
          <t>Jul</t>
        </is>
      </c>
      <c r="B13" s="23">
        <f>Model!K27</f>
        <v/>
      </c>
      <c r="C13" s="19">
        <f>Model!K6</f>
        <v/>
      </c>
      <c r="D13" s="22">
        <f>Model!K23</f>
        <v/>
      </c>
      <c r="E13" s="22">
        <f>Model!K24</f>
        <v/>
      </c>
      <c r="F13" s="22">
        <f>Model!K25</f>
        <v/>
      </c>
    </row>
    <row r="14">
      <c r="A14" t="inlineStr">
        <is>
          <t>Aug</t>
        </is>
      </c>
      <c r="B14" s="23">
        <f>Model!L27</f>
        <v/>
      </c>
      <c r="C14" s="19">
        <f>Model!L6</f>
        <v/>
      </c>
      <c r="D14" s="22">
        <f>Model!L23</f>
        <v/>
      </c>
      <c r="E14" s="22">
        <f>Model!L24</f>
        <v/>
      </c>
      <c r="F14" s="22">
        <f>Model!L25</f>
        <v/>
      </c>
    </row>
    <row r="15">
      <c r="A15" t="inlineStr">
        <is>
          <t>Sep</t>
        </is>
      </c>
      <c r="B15" s="23">
        <f>Model!M27</f>
        <v/>
      </c>
      <c r="C15" s="19">
        <f>Model!M6</f>
        <v/>
      </c>
      <c r="D15" s="22">
        <f>Model!M23</f>
        <v/>
      </c>
      <c r="E15" s="22">
        <f>Model!M24</f>
        <v/>
      </c>
      <c r="F15" s="22">
        <f>Model!M25</f>
        <v/>
      </c>
    </row>
    <row r="16">
      <c r="A16" t="inlineStr">
        <is>
          <t>Oct</t>
        </is>
      </c>
      <c r="B16" s="23">
        <f>Model!N27</f>
        <v/>
      </c>
      <c r="C16" s="19">
        <f>Model!N6</f>
        <v/>
      </c>
      <c r="D16" s="22">
        <f>Model!N23</f>
        <v/>
      </c>
      <c r="E16" s="22">
        <f>Model!N24</f>
        <v/>
      </c>
      <c r="F16" s="22">
        <f>Model!N25</f>
        <v/>
      </c>
    </row>
    <row r="17">
      <c r="A17" t="inlineStr">
        <is>
          <t>Nov</t>
        </is>
      </c>
      <c r="B17" s="23">
        <f>Model!O27</f>
        <v/>
      </c>
      <c r="C17" s="19">
        <f>Model!O6</f>
        <v/>
      </c>
      <c r="D17" s="22">
        <f>Model!O23</f>
        <v/>
      </c>
      <c r="E17" s="22">
        <f>Model!O24</f>
        <v/>
      </c>
      <c r="F17" s="22">
        <f>Model!O25</f>
        <v/>
      </c>
    </row>
    <row r="18">
      <c r="A18" t="inlineStr">
        <is>
          <t>Dec</t>
        </is>
      </c>
      <c r="B18" s="23">
        <f>Model!P27</f>
        <v/>
      </c>
      <c r="C18" s="19">
        <f>Model!P6</f>
        <v/>
      </c>
      <c r="D18" s="22">
        <f>Model!P23</f>
        <v/>
      </c>
      <c r="E18" s="22">
        <f>Model!P24</f>
        <v/>
      </c>
      <c r="F18" s="22">
        <f>Model!P25</f>
        <v/>
      </c>
    </row>
    <row r="21" ht="15.75" customHeight="1" s="74">
      <c r="A21" s="75" t="inlineStr">
        <is>
          <t>KEY METRICS</t>
        </is>
      </c>
    </row>
    <row r="22" ht="18.75" customHeight="1" s="74">
      <c r="A22" t="inlineStr">
        <is>
          <t>Annual GTN %</t>
        </is>
      </c>
      <c r="C22" s="30">
        <f>Model!Q27</f>
        <v/>
      </c>
    </row>
    <row r="23">
      <c r="A23" t="inlineStr">
        <is>
          <t>Total Program Costs</t>
        </is>
      </c>
      <c r="C23" s="22">
        <f>Model!Q25</f>
        <v/>
      </c>
    </row>
    <row r="24">
      <c r="A24" t="inlineStr">
        <is>
          <t>Covered Costs</t>
        </is>
      </c>
      <c r="C24" s="22">
        <f>Model!Q23</f>
        <v/>
      </c>
    </row>
    <row r="25">
      <c r="A25" t="inlineStr">
        <is>
          <t>Not Covered Costs</t>
        </is>
      </c>
      <c r="C25" s="22">
        <f>Model!Q24</f>
        <v/>
      </c>
    </row>
    <row r="26">
      <c r="A26" t="inlineStr">
        <is>
          <t>Avg Coverage</t>
        </is>
      </c>
      <c r="C26" s="19">
        <f>AVERAGE(Model!E6:P6)</f>
        <v/>
      </c>
    </row>
  </sheetData>
  <mergeCells count="2">
    <mergeCell ref="A21:E21"/>
    <mergeCell ref="A4:H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F61"/>
  <sheetViews>
    <sheetView showGridLines="0" tabSelected="1" topLeftCell="A21" workbookViewId="0">
      <selection activeCell="F34" sqref="F34"/>
    </sheetView>
  </sheetViews>
  <sheetFormatPr baseColWidth="8" defaultRowHeight="15"/>
  <cols>
    <col width="3" customWidth="1" style="74" min="1" max="1"/>
    <col width="25" customWidth="1" style="74" min="2" max="2"/>
    <col width="12" customWidth="1" style="74" min="3" max="3"/>
    <col width="25" customWidth="1" style="74" min="4" max="4"/>
    <col width="3" customWidth="1" style="74" min="5" max="5"/>
  </cols>
  <sheetData>
    <row r="4" ht="23.25" customHeight="1" s="74">
      <c r="A4" s="108" t="inlineStr">
        <is>
          <t>MODEL ASSUMPTIONS</t>
        </is>
      </c>
      <c r="B4" s="108" t="n"/>
      <c r="C4" s="109" t="n"/>
      <c r="D4" s="108" t="n"/>
      <c r="E4" s="108" t="n"/>
    </row>
    <row r="5">
      <c r="A5" s="110" t="inlineStr">
        <is>
          <t>Edit BLUE cells to change assumptions → Model &amp; Charts update automatically</t>
        </is>
      </c>
      <c r="B5" s="110" t="n"/>
      <c r="C5" s="111" t="n"/>
      <c r="D5" s="110" t="n"/>
      <c r="E5" s="110" t="n"/>
    </row>
    <row r="6">
      <c r="A6" s="110" t="n"/>
      <c r="B6" s="110" t="n"/>
      <c r="C6" s="111" t="n"/>
      <c r="D6" s="110" t="n"/>
      <c r="E6" s="110" t="n"/>
    </row>
    <row r="7" ht="15.75" customHeight="1" s="74">
      <c r="A7" s="108" t="inlineStr">
        <is>
          <t>CORE PRICING &amp; PROGRAM RULES</t>
        </is>
      </c>
      <c r="B7" s="108" t="n"/>
      <c r="C7" s="109" t="n"/>
      <c r="D7" s="108" t="n"/>
      <c r="E7" s="108" t="n"/>
    </row>
    <row r="8">
      <c r="A8" s="110" t="inlineStr">
        <is>
          <t>WAC Price</t>
        </is>
      </c>
      <c r="B8" s="110" t="n"/>
      <c r="C8" s="112" t="n">
        <v>1649</v>
      </c>
      <c r="D8" s="110" t="inlineStr">
        <is>
          <t>Static for 12 months</t>
        </is>
      </c>
      <c r="E8" s="110" t="n"/>
    </row>
    <row r="9">
      <c r="A9" s="110" t="inlineStr">
        <is>
          <t>Pay No More Than</t>
        </is>
      </c>
      <c r="B9" s="110" t="n"/>
      <c r="C9" s="112" t="n">
        <v>25</v>
      </c>
      <c r="D9" s="110" t="inlineStr">
        <is>
          <t>Patient max OOP</t>
        </is>
      </c>
      <c r="E9" s="110" t="n"/>
    </row>
    <row r="10">
      <c r="A10" s="110" t="inlineStr">
        <is>
          <t>Redemption Rate</t>
        </is>
      </c>
      <c r="B10" s="110" t="n"/>
      <c r="C10" s="113" t="n">
        <v>0.8</v>
      </c>
      <c r="D10" s="110" t="inlineStr">
        <is>
          <t>Program redemption</t>
        </is>
      </c>
      <c r="E10" s="110" t="n"/>
    </row>
    <row r="11">
      <c r="A11" s="110" t="inlineStr">
        <is>
          <t>Medical Exception Pullthrough</t>
        </is>
      </c>
      <c r="B11" s="110" t="n"/>
      <c r="C11" s="113" t="n">
        <v>0</v>
      </c>
      <c r="D11" s="110" t="inlineStr">
        <is>
          <t>Exception approval rate</t>
        </is>
      </c>
      <c r="E11" s="110" t="n"/>
    </row>
    <row r="12">
      <c r="A12" s="110" t="n"/>
      <c r="B12" s="110" t="n"/>
      <c r="C12" s="111" t="n"/>
      <c r="D12" s="110" t="n"/>
      <c r="E12" s="110" t="n"/>
    </row>
    <row r="13" ht="15.75" customHeight="1" s="74">
      <c r="A13" s="108" t="inlineStr">
        <is>
          <t>COST SHARING STRUCTURE</t>
        </is>
      </c>
      <c r="B13" s="108" t="n"/>
      <c r="C13" s="109" t="n"/>
      <c r="D13" s="108" t="n"/>
      <c r="E13" s="108" t="n"/>
    </row>
    <row r="14">
      <c r="A14" s="110" t="inlineStr">
        <is>
          <t>Copay Mix %</t>
        </is>
      </c>
      <c r="B14" s="110" t="n"/>
      <c r="C14" s="113" t="n">
        <v>0.8</v>
      </c>
      <c r="D14" s="110" t="n"/>
      <c r="E14" s="110" t="n"/>
    </row>
    <row r="15">
      <c r="A15" s="110" t="inlineStr">
        <is>
          <t>Coinsurance Mix %</t>
        </is>
      </c>
      <c r="B15" s="110" t="n"/>
      <c r="C15" s="113" t="n">
        <v>0.2</v>
      </c>
      <c r="D15" s="110" t="n"/>
      <c r="E15" s="110" t="n"/>
    </row>
    <row r="16">
      <c r="A16" s="110" t="inlineStr">
        <is>
          <t>Copay Amount (Tier 3)</t>
        </is>
      </c>
      <c r="B16" s="110" t="n"/>
      <c r="C16" s="112" t="n">
        <v>65</v>
      </c>
      <c r="D16" s="110" t="n"/>
      <c r="E16" s="110" t="n"/>
    </row>
    <row r="17">
      <c r="A17" s="110" t="inlineStr">
        <is>
          <t>Coinsurance Rate (Tier 3)</t>
        </is>
      </c>
      <c r="B17" s="110" t="n"/>
      <c r="C17" s="113" t="n">
        <v>0.35</v>
      </c>
      <c r="D17" s="110" t="n"/>
      <c r="E17" s="110" t="n"/>
    </row>
    <row r="18">
      <c r="A18" s="110" t="inlineStr">
        <is>
          <t>Not Covered Buydown</t>
        </is>
      </c>
      <c r="B18" s="110" t="n"/>
      <c r="C18" s="114" t="n">
        <v>1764.175</v>
      </c>
      <c r="D18" s="110" t="inlineStr">
        <is>
          <t>Buydown to $25 target</t>
        </is>
      </c>
      <c r="E18" s="110" t="n"/>
    </row>
    <row r="19">
      <c r="A19" s="110" t="n"/>
      <c r="B19" s="110" t="n"/>
      <c r="C19" s="111" t="n"/>
      <c r="D19" s="110" t="n"/>
      <c r="E19" s="110" t="n"/>
    </row>
    <row r="20" ht="15.75" customHeight="1" s="74">
      <c r="A20" s="108" t="inlineStr">
        <is>
          <t>COVERAGE UPTAKE FORECAST (% of Commercial Lives Covered)</t>
        </is>
      </c>
      <c r="B20" s="108" t="n"/>
      <c r="C20" s="109" t="n"/>
      <c r="D20" s="108" t="n"/>
      <c r="E20" s="108" t="n"/>
    </row>
    <row r="21">
      <c r="A21" s="110" t="inlineStr">
        <is>
          <t>Higher coverage = Lower GTN (less not-covered buydown)</t>
        </is>
      </c>
      <c r="B21" s="110" t="n"/>
      <c r="C21" s="111" t="n"/>
      <c r="D21" s="110" t="n"/>
      <c r="E21" s="110" t="n"/>
    </row>
    <row r="22">
      <c r="A22" s="110" t="inlineStr">
        <is>
          <t>Jan</t>
        </is>
      </c>
      <c r="B22" s="110" t="n"/>
      <c r="C22" s="113" t="n">
        <v>0</v>
      </c>
      <c r="D22" s="110">
        <f>REPT("█",ROUND(C22*20,0))</f>
        <v/>
      </c>
      <c r="E22" s="110" t="n"/>
    </row>
    <row r="23">
      <c r="A23" s="110" t="inlineStr">
        <is>
          <t>Feb</t>
        </is>
      </c>
      <c r="B23" s="110" t="n"/>
      <c r="C23" s="113" t="n">
        <v>0</v>
      </c>
      <c r="D23" s="110">
        <f>REPT("█",ROUND(C23*20,0))</f>
        <v/>
      </c>
      <c r="E23" s="110" t="n"/>
    </row>
    <row r="24">
      <c r="A24" s="110" t="inlineStr">
        <is>
          <t>Mar</t>
        </is>
      </c>
      <c r="B24" s="110" t="n"/>
      <c r="C24" s="113" t="n">
        <v>0</v>
      </c>
      <c r="D24" s="110">
        <f>REPT("█",ROUND(C24*20,0))</f>
        <v/>
      </c>
      <c r="E24" s="110" t="n"/>
    </row>
    <row r="25">
      <c r="A25" s="110" t="inlineStr">
        <is>
          <t>Apr</t>
        </is>
      </c>
      <c r="B25" s="110" t="n"/>
      <c r="C25" s="113" t="n">
        <v>0.06</v>
      </c>
      <c r="D25" s="110">
        <f>REPT("█",ROUND(C25*20,0))</f>
        <v/>
      </c>
      <c r="E25" s="110" t="n"/>
    </row>
    <row r="26">
      <c r="A26" s="110" t="inlineStr">
        <is>
          <t>May</t>
        </is>
      </c>
      <c r="B26" s="110" t="n"/>
      <c r="C26" s="113" t="n">
        <v>0.11</v>
      </c>
      <c r="D26" s="110">
        <f>REPT("█",ROUND(C26*20,0))</f>
        <v/>
      </c>
      <c r="E26" s="110" t="n"/>
    </row>
    <row r="27">
      <c r="A27" s="110" t="inlineStr">
        <is>
          <t>Jun</t>
        </is>
      </c>
      <c r="B27" s="110" t="n"/>
      <c r="C27" s="113" t="n">
        <v>0.29</v>
      </c>
      <c r="D27" s="110">
        <f>REPT("█",ROUND(C27*20,0))</f>
        <v/>
      </c>
      <c r="E27" s="110" t="n"/>
    </row>
    <row r="28">
      <c r="A28" s="110" t="inlineStr">
        <is>
          <t>Jul</t>
        </is>
      </c>
      <c r="B28" s="110" t="n"/>
      <c r="C28" s="113" t="n">
        <v>0.44</v>
      </c>
      <c r="D28" s="110">
        <f>REPT("█",ROUND(C28*20,0))</f>
        <v/>
      </c>
      <c r="E28" s="110" t="n"/>
    </row>
    <row r="29">
      <c r="A29" s="110" t="inlineStr">
        <is>
          <t>Aug</t>
        </is>
      </c>
      <c r="B29" s="110" t="n"/>
      <c r="C29" s="113" t="n">
        <v>0.52</v>
      </c>
      <c r="D29" s="110">
        <f>REPT("█",ROUND(C29*20,0))</f>
        <v/>
      </c>
      <c r="E29" s="110" t="n"/>
    </row>
    <row r="30">
      <c r="A30" s="110" t="inlineStr">
        <is>
          <t>Sep</t>
        </is>
      </c>
      <c r="B30" s="110" t="n"/>
      <c r="C30" s="113" t="n">
        <v>0.58</v>
      </c>
      <c r="D30" s="110">
        <f>REPT("█",ROUND(C30*20,0))</f>
        <v/>
      </c>
      <c r="E30" s="110" t="n"/>
    </row>
    <row r="31">
      <c r="A31" s="110" t="inlineStr">
        <is>
          <t>Oct</t>
        </is>
      </c>
      <c r="B31" s="110" t="n"/>
      <c r="C31" s="113" t="n">
        <v>0.58</v>
      </c>
      <c r="D31" s="110">
        <f>REPT("█",ROUND(C31*20,0))</f>
        <v/>
      </c>
      <c r="E31" s="110" t="n"/>
    </row>
    <row r="32">
      <c r="A32" s="110" t="inlineStr">
        <is>
          <t>Nov</t>
        </is>
      </c>
      <c r="B32" s="110" t="n"/>
      <c r="C32" s="113" t="n">
        <v>0.58</v>
      </c>
      <c r="D32" s="110">
        <f>REPT("█",ROUND(C32*20,0))</f>
        <v/>
      </c>
      <c r="E32" s="110" t="n"/>
    </row>
    <row r="33">
      <c r="A33" s="110" t="inlineStr">
        <is>
          <t>Dec</t>
        </is>
      </c>
      <c r="B33" s="110" t="n"/>
      <c r="C33" s="113" t="n">
        <v>0.58</v>
      </c>
      <c r="D33" s="110">
        <f>REPT("█",ROUND(C33*20,0))</f>
        <v/>
      </c>
      <c r="E33" s="110" t="n"/>
    </row>
    <row r="34">
      <c r="A34" s="108" t="n"/>
      <c r="B34" s="108" t="n"/>
      <c r="C34" s="109" t="n"/>
      <c r="D34" s="108" t="n"/>
      <c r="E34" s="108" t="n"/>
    </row>
    <row r="35">
      <c r="A35" s="115" t="inlineStr">
        <is>
          <t>DEDUCTIBLE MET (% by Month)</t>
        </is>
      </c>
      <c r="B35" s="110" t="n"/>
      <c r="C35" s="111" t="n"/>
      <c r="D35" s="110" t="n"/>
      <c r="E35" s="110" t="n"/>
    </row>
    <row r="36">
      <c r="A36" s="110" t="inlineStr">
        <is>
          <t>Jan</t>
        </is>
      </c>
      <c r="B36" s="110" t="n"/>
      <c r="C36" s="113" t="n">
        <v>0.03</v>
      </c>
      <c r="D36" s="110" t="n"/>
      <c r="E36" s="110" t="n"/>
    </row>
    <row r="37">
      <c r="A37" s="110" t="inlineStr">
        <is>
          <t>Feb</t>
        </is>
      </c>
      <c r="B37" s="110" t="n"/>
      <c r="C37" s="113" t="n">
        <v>0.11</v>
      </c>
      <c r="D37" s="110" t="n"/>
      <c r="E37" s="110" t="n"/>
    </row>
    <row r="38">
      <c r="A38" s="110" t="inlineStr">
        <is>
          <t>Mar</t>
        </is>
      </c>
      <c r="B38" s="110" t="n"/>
      <c r="C38" s="113" t="n">
        <v>0.2</v>
      </c>
      <c r="D38" s="110" t="n"/>
      <c r="E38" s="110" t="n"/>
    </row>
    <row r="39">
      <c r="A39" s="110" t="inlineStr">
        <is>
          <t>Apr</t>
        </is>
      </c>
      <c r="B39" s="110" t="n"/>
      <c r="C39" s="113" t="n">
        <v>0.295</v>
      </c>
      <c r="D39" s="110" t="n"/>
      <c r="E39" s="110" t="n"/>
    </row>
    <row r="40">
      <c r="A40" s="110" t="inlineStr">
        <is>
          <t>May</t>
        </is>
      </c>
      <c r="B40" s="110" t="n"/>
      <c r="C40" s="113" t="n">
        <v>0.395</v>
      </c>
      <c r="D40" s="110" t="n"/>
      <c r="E40" s="110" t="n"/>
    </row>
    <row r="41">
      <c r="A41" s="110" t="inlineStr">
        <is>
          <t>Jun</t>
        </is>
      </c>
      <c r="B41" s="110" t="n"/>
      <c r="C41" s="113" t="n">
        <v>0.495</v>
      </c>
      <c r="D41" s="110" t="n"/>
      <c r="E41" s="110" t="n"/>
    </row>
    <row r="42">
      <c r="A42" s="110" t="inlineStr">
        <is>
          <t>Jul</t>
        </is>
      </c>
      <c r="B42" s="110" t="n"/>
      <c r="C42" s="113" t="n">
        <v>0.595</v>
      </c>
      <c r="D42" s="110" t="n"/>
      <c r="E42" s="110" t="n"/>
    </row>
    <row r="43">
      <c r="A43" s="110" t="inlineStr">
        <is>
          <t>Aug</t>
        </is>
      </c>
      <c r="B43" s="110" t="n"/>
      <c r="C43" s="113" t="n">
        <v>0.6899999999999999</v>
      </c>
      <c r="D43" s="110" t="n"/>
      <c r="E43" s="110" t="n"/>
    </row>
    <row r="44">
      <c r="A44" s="110" t="inlineStr">
        <is>
          <t>Sep</t>
        </is>
      </c>
      <c r="B44" s="110" t="n"/>
      <c r="C44" s="113" t="n">
        <v>0.785</v>
      </c>
      <c r="D44" s="110" t="n"/>
      <c r="E44" s="110" t="n"/>
    </row>
    <row r="45">
      <c r="A45" s="110" t="inlineStr">
        <is>
          <t>Oct</t>
        </is>
      </c>
      <c r="B45" s="110" t="n"/>
      <c r="C45" s="113" t="n">
        <v>0.885</v>
      </c>
      <c r="D45" s="110" t="n"/>
      <c r="E45" s="110" t="n"/>
    </row>
    <row r="46">
      <c r="A46" s="110" t="inlineStr">
        <is>
          <t>Nov</t>
        </is>
      </c>
      <c r="B46" s="110" t="n"/>
      <c r="C46" s="113" t="n">
        <v>0.949</v>
      </c>
      <c r="D46" s="110" t="n"/>
      <c r="E46" s="110" t="n"/>
    </row>
    <row r="47">
      <c r="A47" s="110" t="inlineStr">
        <is>
          <t>Dec</t>
        </is>
      </c>
      <c r="B47" s="110" t="n"/>
      <c r="C47" s="113" t="n">
        <v>0.95</v>
      </c>
      <c r="D47" s="110" t="n"/>
      <c r="E47" s="110" t="n"/>
    </row>
    <row r="48">
      <c r="A48" s="108" t="n"/>
      <c r="B48" s="108" t="n"/>
      <c r="C48" s="109" t="n"/>
      <c r="D48" s="108" t="n"/>
      <c r="E48" s="108" t="n"/>
    </row>
    <row r="49" ht="15.75" customHeight="1" s="74">
      <c r="A49" s="116" t="inlineStr">
        <is>
          <t>PAYER MIX (Commercial %)</t>
        </is>
      </c>
      <c r="B49" s="110" t="n"/>
      <c r="C49" s="111" t="n"/>
      <c r="D49" s="110" t="n"/>
      <c r="E49" s="110" t="n"/>
    </row>
    <row r="50">
      <c r="A50" s="110" t="inlineStr">
        <is>
          <t>Jan</t>
        </is>
      </c>
      <c r="B50" s="110" t="n"/>
      <c r="C50" s="113" t="n">
        <v>0.96</v>
      </c>
      <c r="D50" s="110" t="n"/>
      <c r="E50" s="110" t="n"/>
    </row>
    <row r="51">
      <c r="A51" s="110" t="inlineStr">
        <is>
          <t>Feb</t>
        </is>
      </c>
      <c r="B51" s="110" t="n"/>
      <c r="C51" s="113" t="n">
        <v>0.96</v>
      </c>
      <c r="D51" s="110" t="n"/>
      <c r="E51" s="110" t="n"/>
    </row>
    <row r="52">
      <c r="A52" s="110" t="inlineStr">
        <is>
          <t>Mar</t>
        </is>
      </c>
      <c r="B52" s="110" t="n"/>
      <c r="C52" s="113" t="n">
        <v>0.96</v>
      </c>
      <c r="D52" s="110" t="n"/>
      <c r="E52" s="110" t="n"/>
    </row>
    <row r="53">
      <c r="A53" s="110" t="inlineStr">
        <is>
          <t>Apr</t>
        </is>
      </c>
      <c r="B53" s="110" t="n"/>
      <c r="C53" s="113" t="n">
        <v>0.95</v>
      </c>
      <c r="D53" s="110" t="n"/>
      <c r="E53" s="110" t="n"/>
    </row>
    <row r="54">
      <c r="A54" s="110" t="inlineStr">
        <is>
          <t>May</t>
        </is>
      </c>
      <c r="B54" s="110" t="n"/>
      <c r="C54" s="113" t="n">
        <v>0.95</v>
      </c>
      <c r="D54" s="110" t="n"/>
      <c r="E54" s="110" t="n"/>
    </row>
    <row r="55">
      <c r="A55" s="110" t="inlineStr">
        <is>
          <t>Jun</t>
        </is>
      </c>
      <c r="B55" s="110" t="n"/>
      <c r="C55" s="113" t="n">
        <v>0.95</v>
      </c>
      <c r="D55" s="110" t="n"/>
      <c r="E55" s="110" t="n"/>
    </row>
    <row r="56">
      <c r="A56" s="110" t="inlineStr">
        <is>
          <t>Jul</t>
        </is>
      </c>
      <c r="B56" s="110" t="n"/>
      <c r="C56" s="113" t="n">
        <v>0.9</v>
      </c>
      <c r="D56" s="110" t="n"/>
      <c r="E56" s="110" t="n"/>
    </row>
    <row r="57">
      <c r="A57" s="110" t="inlineStr">
        <is>
          <t>Aug</t>
        </is>
      </c>
      <c r="B57" s="110" t="n"/>
      <c r="C57" s="113" t="n">
        <v>0.9</v>
      </c>
      <c r="D57" s="110" t="n"/>
      <c r="E57" s="110" t="n"/>
    </row>
    <row r="58">
      <c r="A58" s="110" t="inlineStr">
        <is>
          <t>Sep</t>
        </is>
      </c>
      <c r="B58" s="110" t="n"/>
      <c r="C58" s="113" t="n">
        <v>0.9</v>
      </c>
      <c r="D58" s="110" t="n"/>
      <c r="E58" s="110" t="n"/>
    </row>
    <row r="59">
      <c r="A59" s="110" t="inlineStr">
        <is>
          <t>Oct</t>
        </is>
      </c>
      <c r="B59" s="110" t="n"/>
      <c r="C59" s="113" t="n">
        <v>0.9</v>
      </c>
      <c r="D59" s="110" t="n"/>
      <c r="E59" s="110" t="n"/>
    </row>
    <row r="60">
      <c r="A60" s="110" t="inlineStr">
        <is>
          <t>Nov</t>
        </is>
      </c>
      <c r="B60" s="110" t="n"/>
      <c r="C60" s="113" t="n">
        <v>0.9</v>
      </c>
      <c r="D60" s="110" t="n"/>
      <c r="E60" s="110" t="n"/>
    </row>
    <row r="61">
      <c r="A61" s="110" t="inlineStr">
        <is>
          <t>Dec</t>
        </is>
      </c>
      <c r="B61" s="110" t="n"/>
      <c r="C61" s="113" t="n">
        <v>0.9</v>
      </c>
      <c r="D61" s="110" t="n"/>
      <c r="E61" s="110" t="n"/>
    </row>
  </sheetData>
  <mergeCells count="8">
    <mergeCell ref="A35:D35"/>
    <mergeCell ref="A5:F5"/>
    <mergeCell ref="A20:D20"/>
    <mergeCell ref="A21:D21"/>
    <mergeCell ref="A7:D7"/>
    <mergeCell ref="A4:F4"/>
    <mergeCell ref="A49:D49"/>
    <mergeCell ref="A13:D1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Q76"/>
  <sheetViews>
    <sheetView showGridLines="0" workbookViewId="0">
      <selection activeCell="E21" sqref="E21"/>
    </sheetView>
  </sheetViews>
  <sheetFormatPr baseColWidth="8" defaultRowHeight="15"/>
  <cols>
    <col width="21.5703125" customWidth="1" style="74" min="1" max="1"/>
    <col width="10.140625" bestFit="1" customWidth="1" style="74" min="2" max="2"/>
    <col width="34.42578125" customWidth="1" style="74" min="3" max="3"/>
    <col width="22" bestFit="1" customWidth="1" style="74" min="4" max="4"/>
    <col width="11" customWidth="1" style="74" min="5" max="16"/>
    <col width="11" customWidth="1" style="74" min="6" max="6"/>
    <col width="11" customWidth="1" style="74" min="7" max="7"/>
    <col width="11" customWidth="1" style="74" min="8" max="8"/>
    <col width="11" customWidth="1" style="74" min="9" max="9"/>
    <col width="11" customWidth="1" style="74" min="10" max="10"/>
    <col width="11" customWidth="1" style="74" min="11" max="11"/>
    <col width="11" customWidth="1" style="74" min="12" max="12"/>
    <col width="11" customWidth="1" style="74" min="13" max="13"/>
    <col width="11" customWidth="1" style="74" min="14" max="14"/>
    <col width="11" customWidth="1" style="74" min="15" max="15"/>
    <col width="11" customWidth="1" style="74" min="16" max="16"/>
    <col width="11" bestFit="1" customWidth="1" style="74" min="17" max="17"/>
  </cols>
  <sheetData>
    <row r="4" ht="23.25" customHeight="1" s="74">
      <c r="A4" s="117" t="inlineStr">
        <is>
          <t>GTN ACCRUALS - INCOME STATEMENT METHOD</t>
        </is>
      </c>
    </row>
    <row r="5">
      <c r="A5" s="77" t="n"/>
    </row>
    <row r="7" ht="15.75" customHeight="1" s="74">
      <c r="D7" s="80" t="inlineStr">
        <is>
          <t>2026</t>
        </is>
      </c>
    </row>
    <row r="8" ht="15.75" customHeight="1" s="74">
      <c r="E8" s="118" t="inlineStr">
        <is>
          <t>Jan</t>
        </is>
      </c>
      <c r="F8" s="118" t="inlineStr">
        <is>
          <t>Feb</t>
        </is>
      </c>
      <c r="G8" s="118" t="inlineStr">
        <is>
          <t>Mar</t>
        </is>
      </c>
      <c r="H8" s="118" t="inlineStr">
        <is>
          <t>Apr</t>
        </is>
      </c>
      <c r="I8" s="118" t="inlineStr">
        <is>
          <t>May</t>
        </is>
      </c>
      <c r="J8" s="118" t="inlineStr">
        <is>
          <t>Jun</t>
        </is>
      </c>
      <c r="K8" s="118" t="inlineStr">
        <is>
          <t>Jul</t>
        </is>
      </c>
      <c r="L8" s="118" t="inlineStr">
        <is>
          <t>Aug</t>
        </is>
      </c>
      <c r="M8" s="118" t="inlineStr">
        <is>
          <t>Sep</t>
        </is>
      </c>
      <c r="N8" s="118" t="inlineStr">
        <is>
          <t>Oct</t>
        </is>
      </c>
      <c r="O8" s="118" t="inlineStr">
        <is>
          <t>Nov</t>
        </is>
      </c>
      <c r="P8" s="118" t="inlineStr">
        <is>
          <t>Dec</t>
        </is>
      </c>
      <c r="Q8" s="118" t="inlineStr">
        <is>
          <t>ANNUAL</t>
        </is>
      </c>
    </row>
    <row r="10" ht="15.75" customHeight="1" s="74">
      <c r="A10" s="119" t="inlineStr">
        <is>
          <t xml:space="preserve">EXFACTORY DEMAND </t>
        </is>
      </c>
    </row>
    <row r="11">
      <c r="D11" s="89" t="inlineStr">
        <is>
          <t>ExFactory Units</t>
        </is>
      </c>
      <c r="E11" s="120">
        <f>'exFactory Demand Model'!G4</f>
        <v/>
      </c>
      <c r="F11" s="120">
        <f>'exFactory Demand Model'!G5</f>
        <v/>
      </c>
      <c r="G11" s="120">
        <f>'exFactory Demand Model'!G6</f>
        <v/>
      </c>
      <c r="H11" s="120">
        <f>'exFactory Demand Model'!G7</f>
        <v/>
      </c>
      <c r="I11" s="120">
        <f>'exFactory Demand Model'!G8</f>
        <v/>
      </c>
      <c r="J11" s="120">
        <f>'exFactory Demand Model'!G9</f>
        <v/>
      </c>
      <c r="K11" s="120">
        <f>'exFactory Demand Model'!G10</f>
        <v/>
      </c>
      <c r="L11" s="120">
        <f>'exFactory Demand Model'!G11</f>
        <v/>
      </c>
      <c r="M11" s="120">
        <f>'exFactory Demand Model'!G12</f>
        <v/>
      </c>
      <c r="N11" s="120">
        <f>'exFactory Demand Model'!G13</f>
        <v/>
      </c>
      <c r="O11" s="120">
        <f>'exFactory Demand Model'!G14</f>
        <v/>
      </c>
      <c r="P11" s="120">
        <f>'exFactory Demand Model'!G15</f>
        <v/>
      </c>
      <c r="Q11" s="94">
        <f>SUM(E11:P11)</f>
        <v/>
      </c>
    </row>
    <row r="12">
      <c r="D12" s="89" t="inlineStr">
        <is>
          <t>WAC Price</t>
        </is>
      </c>
      <c r="E12" s="99">
        <f>Assumptions!$C$8</f>
        <v/>
      </c>
      <c r="F12" s="99">
        <f>Assumptions!$C$8</f>
        <v/>
      </c>
      <c r="G12" s="99">
        <f>Assumptions!$C$8</f>
        <v/>
      </c>
      <c r="H12" s="99">
        <f>Assumptions!$C$8</f>
        <v/>
      </c>
      <c r="I12" s="99">
        <f>Assumptions!$C$8</f>
        <v/>
      </c>
      <c r="J12" s="99">
        <f>Assumptions!$C$8</f>
        <v/>
      </c>
      <c r="K12" s="99">
        <f>Assumptions!$C$8</f>
        <v/>
      </c>
      <c r="L12" s="99">
        <f>Assumptions!$C$8</f>
        <v/>
      </c>
      <c r="M12" s="99">
        <f>Assumptions!$C$8</f>
        <v/>
      </c>
      <c r="N12" s="99">
        <f>Assumptions!$C$8</f>
        <v/>
      </c>
      <c r="O12" s="99">
        <f>Assumptions!$C$8</f>
        <v/>
      </c>
      <c r="P12" s="99">
        <f>Assumptions!$C$8</f>
        <v/>
      </c>
      <c r="Q12" s="100" t="n"/>
    </row>
    <row r="13">
      <c r="D13" s="121" t="inlineStr">
        <is>
          <t>ExFactory Gross Revenue</t>
        </is>
      </c>
      <c r="E13" s="122">
        <f>E11*E12</f>
        <v/>
      </c>
      <c r="F13" s="122">
        <f>F11*F12</f>
        <v/>
      </c>
      <c r="G13" s="122">
        <f>G11*G12</f>
        <v/>
      </c>
      <c r="H13" s="122">
        <f>H11*H12</f>
        <v/>
      </c>
      <c r="I13" s="122">
        <f>I11*I12</f>
        <v/>
      </c>
      <c r="J13" s="122">
        <f>J11*J12</f>
        <v/>
      </c>
      <c r="K13" s="122">
        <f>K11*K12</f>
        <v/>
      </c>
      <c r="L13" s="122">
        <f>L11*L12</f>
        <v/>
      </c>
      <c r="M13" s="122">
        <f>M11*M12</f>
        <v/>
      </c>
      <c r="N13" s="122">
        <f>N11*N12</f>
        <v/>
      </c>
      <c r="O13" s="122">
        <f>O11*O12</f>
        <v/>
      </c>
      <c r="P13" s="122">
        <f>P11*P12</f>
        <v/>
      </c>
      <c r="Q13" s="123">
        <f>SUM(E13:P13)</f>
        <v/>
      </c>
    </row>
    <row r="14">
      <c r="D14" s="89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</row>
    <row r="15">
      <c r="D15" s="89" t="inlineStr">
        <is>
          <t>Script Demand (Rx)</t>
        </is>
      </c>
      <c r="E15" s="124" t="n">
        <v>0</v>
      </c>
      <c r="F15" s="124" t="n">
        <v>130</v>
      </c>
      <c r="G15" s="124" t="n">
        <v>246</v>
      </c>
      <c r="H15" s="124" t="n">
        <v>445</v>
      </c>
      <c r="I15" s="124" t="n">
        <v>827</v>
      </c>
      <c r="J15" s="124" t="n">
        <v>1273</v>
      </c>
      <c r="K15" s="124" t="n">
        <v>2290</v>
      </c>
      <c r="L15" s="124" t="n">
        <v>3028</v>
      </c>
      <c r="M15" s="124" t="n">
        <v>3919</v>
      </c>
      <c r="N15" s="124" t="n">
        <v>4772</v>
      </c>
      <c r="O15" s="124" t="n">
        <v>5745</v>
      </c>
      <c r="P15" s="124" t="n">
        <v>6813</v>
      </c>
      <c r="Q15" s="94">
        <f>SUM(E15:P15)</f>
        <v/>
      </c>
    </row>
    <row r="16">
      <c r="D16" s="89" t="inlineStr">
        <is>
          <t>MOH Target</t>
        </is>
      </c>
      <c r="E16" s="125" t="n">
        <v>0</v>
      </c>
      <c r="F16" s="125" t="n">
        <v>2</v>
      </c>
      <c r="G16" s="125" t="n">
        <v>2</v>
      </c>
      <c r="H16" s="125" t="n">
        <v>2</v>
      </c>
      <c r="I16" s="125" t="n">
        <v>2</v>
      </c>
      <c r="J16" s="125" t="n">
        <v>1.75</v>
      </c>
      <c r="K16" s="125" t="n">
        <v>1.75</v>
      </c>
      <c r="L16" s="125" t="n">
        <v>1.5</v>
      </c>
      <c r="M16" s="125" t="n">
        <v>1.5</v>
      </c>
      <c r="N16" s="125" t="n">
        <v>1.25</v>
      </c>
      <c r="O16" s="125" t="n">
        <v>1.25</v>
      </c>
      <c r="P16" s="125" t="n">
        <v>1</v>
      </c>
      <c r="Q16" s="100" t="n"/>
    </row>
    <row r="17">
      <c r="D17" s="89" t="inlineStr">
        <is>
          <t>Channel Inventory (EOM)</t>
        </is>
      </c>
      <c r="E17" s="94">
        <f>E15*E16</f>
        <v/>
      </c>
      <c r="F17" s="94">
        <f>F15*F16</f>
        <v/>
      </c>
      <c r="G17" s="94">
        <f>G15*G16</f>
        <v/>
      </c>
      <c r="H17" s="94">
        <f>H15*H16</f>
        <v/>
      </c>
      <c r="I17" s="94">
        <f>I15*I16</f>
        <v/>
      </c>
      <c r="J17" s="94">
        <f>J15*J16</f>
        <v/>
      </c>
      <c r="K17" s="94">
        <f>K15*K16</f>
        <v/>
      </c>
      <c r="L17" s="94">
        <f>L15*L16</f>
        <v/>
      </c>
      <c r="M17" s="94">
        <f>M15*M16</f>
        <v/>
      </c>
      <c r="N17" s="94">
        <f>N15*N16</f>
        <v/>
      </c>
      <c r="O17" s="94">
        <f>O15*O16</f>
        <v/>
      </c>
      <c r="P17" s="94">
        <f>P15*P16</f>
        <v/>
      </c>
      <c r="Q17" s="100" t="n"/>
    </row>
    <row r="18">
      <c r="D18" s="89" t="inlineStr">
        <is>
          <t>ExFactory vs Rx Demand Ratio</t>
        </is>
      </c>
      <c r="E18" s="126">
        <f>IFERROR(E11/E15,0)</f>
        <v/>
      </c>
      <c r="F18" s="126">
        <f>IFERROR(F11/F15,0)</f>
        <v/>
      </c>
      <c r="G18" s="126">
        <f>IFERROR(G11/G15,0)</f>
        <v/>
      </c>
      <c r="H18" s="126">
        <f>IFERROR(H11/H15,0)</f>
        <v/>
      </c>
      <c r="I18" s="126">
        <f>IFERROR(I11/I15,0)</f>
        <v/>
      </c>
      <c r="J18" s="126">
        <f>IFERROR(J11/J15,0)</f>
        <v/>
      </c>
      <c r="K18" s="126">
        <f>IFERROR(K11/K15,0)</f>
        <v/>
      </c>
      <c r="L18" s="126">
        <f>IFERROR(L11/L15,0)</f>
        <v/>
      </c>
      <c r="M18" s="126">
        <f>IFERROR(M11/M15,0)</f>
        <v/>
      </c>
      <c r="N18" s="126">
        <f>IFERROR(N11/N15,0)</f>
        <v/>
      </c>
      <c r="O18" s="126">
        <f>IFERROR(O11/O15,0)</f>
        <v/>
      </c>
      <c r="P18" s="126">
        <f>IFERROR(P11/P15,0)</f>
        <v/>
      </c>
      <c r="Q18" s="126">
        <f>IFERROR(Q11/Q15,0)</f>
        <v/>
      </c>
    </row>
    <row r="19">
      <c r="D19" s="89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</row>
    <row r="20" ht="15.75" customHeight="1" s="74">
      <c r="A20" s="78" t="inlineStr">
        <is>
          <t>GTN ACCRUAL (Income Statement Method)</t>
        </is>
      </c>
      <c r="D20" s="89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</row>
    <row r="21">
      <c r="D21" s="89" t="inlineStr">
        <is>
          <t>Rx Demand GTN % (from Model)</t>
        </is>
      </c>
      <c r="E21" s="102">
        <f>Model!E27</f>
        <v/>
      </c>
      <c r="F21" s="102">
        <f>Model!F27</f>
        <v/>
      </c>
      <c r="G21" s="102">
        <f>Model!G27</f>
        <v/>
      </c>
      <c r="H21" s="102">
        <f>Model!H27</f>
        <v/>
      </c>
      <c r="I21" s="102">
        <f>Model!I27</f>
        <v/>
      </c>
      <c r="J21" s="102">
        <f>Model!J27</f>
        <v/>
      </c>
      <c r="K21" s="102">
        <f>Model!K27</f>
        <v/>
      </c>
      <c r="L21" s="102">
        <f>Model!L27</f>
        <v/>
      </c>
      <c r="M21" s="102">
        <f>Model!M27</f>
        <v/>
      </c>
      <c r="N21" s="102">
        <f>Model!N27</f>
        <v/>
      </c>
      <c r="O21" s="102">
        <f>Model!O27</f>
        <v/>
      </c>
      <c r="P21" s="102">
        <f>Model!P27</f>
        <v/>
      </c>
      <c r="Q21" s="102">
        <f>Model!Q27</f>
        <v/>
      </c>
    </row>
    <row r="22" ht="15.75" customHeight="1" s="74">
      <c r="D22" s="127" t="inlineStr">
        <is>
          <t>GTN Accrual (ExFactory × GTN%)</t>
        </is>
      </c>
      <c r="E22" s="128">
        <f>E13*E21</f>
        <v/>
      </c>
      <c r="F22" s="128">
        <f>F13*F21</f>
        <v/>
      </c>
      <c r="G22" s="128">
        <f>G13*G21</f>
        <v/>
      </c>
      <c r="H22" s="128">
        <f>H13*H21</f>
        <v/>
      </c>
      <c r="I22" s="128">
        <f>I13*I21</f>
        <v/>
      </c>
      <c r="J22" s="128">
        <f>J13*J21</f>
        <v/>
      </c>
      <c r="K22" s="128">
        <f>K13*K21</f>
        <v/>
      </c>
      <c r="L22" s="128">
        <f>L13*L21</f>
        <v/>
      </c>
      <c r="M22" s="128">
        <f>M13*M21</f>
        <v/>
      </c>
      <c r="N22" s="128">
        <f>N13*N21</f>
        <v/>
      </c>
      <c r="O22" s="128">
        <f>O13*O21</f>
        <v/>
      </c>
      <c r="P22" s="128">
        <f>P13*P21</f>
        <v/>
      </c>
      <c r="Q22" s="129">
        <f>SUM(E22:P22)</f>
        <v/>
      </c>
    </row>
    <row r="23">
      <c r="D23" s="89" t="inlineStr">
        <is>
          <t>Net Revenue (ExFactory - Accrual)</t>
        </is>
      </c>
      <c r="E23" s="99">
        <f>E13-E22</f>
        <v/>
      </c>
      <c r="F23" s="99">
        <f>F13-F22</f>
        <v/>
      </c>
      <c r="G23" s="99">
        <f>G13-G22</f>
        <v/>
      </c>
      <c r="H23" s="99">
        <f>H13-H22</f>
        <v/>
      </c>
      <c r="I23" s="99">
        <f>I13-I22</f>
        <v/>
      </c>
      <c r="J23" s="99">
        <f>J13-J22</f>
        <v/>
      </c>
      <c r="K23" s="99">
        <f>K13-K22</f>
        <v/>
      </c>
      <c r="L23" s="99">
        <f>L13-L22</f>
        <v/>
      </c>
      <c r="M23" s="99">
        <f>M13-M22</f>
        <v/>
      </c>
      <c r="N23" s="99">
        <f>N13-N22</f>
        <v/>
      </c>
      <c r="O23" s="99">
        <f>O13-O22</f>
        <v/>
      </c>
      <c r="P23" s="99">
        <f>P13-P22</f>
        <v/>
      </c>
      <c r="Q23" s="130">
        <f>SUM(E23:P23)</f>
        <v/>
      </c>
    </row>
    <row r="24">
      <c r="D24" s="89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</row>
    <row r="25">
      <c r="D25" s="89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</row>
    <row r="26">
      <c r="A26" s="76" t="inlineStr">
        <is>
          <t>ACCRUAL vs ACTUAL COMPARISON</t>
        </is>
      </c>
      <c r="D26" s="89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</row>
    <row r="27">
      <c r="D27" s="89" t="inlineStr">
        <is>
          <t>Actual GTN Costs (Rx-based)</t>
        </is>
      </c>
      <c r="E27" s="131">
        <f>Model!E25</f>
        <v/>
      </c>
      <c r="F27" s="131">
        <f>Model!F25</f>
        <v/>
      </c>
      <c r="G27" s="131">
        <f>Model!G25</f>
        <v/>
      </c>
      <c r="H27" s="131">
        <f>Model!H25</f>
        <v/>
      </c>
      <c r="I27" s="131">
        <f>Model!I25</f>
        <v/>
      </c>
      <c r="J27" s="131">
        <f>Model!J25</f>
        <v/>
      </c>
      <c r="K27" s="131">
        <f>Model!K25</f>
        <v/>
      </c>
      <c r="L27" s="131">
        <f>Model!L25</f>
        <v/>
      </c>
      <c r="M27" s="131">
        <f>Model!M25</f>
        <v/>
      </c>
      <c r="N27" s="131">
        <f>Model!N25</f>
        <v/>
      </c>
      <c r="O27" s="131">
        <f>Model!O25</f>
        <v/>
      </c>
      <c r="P27" s="131">
        <f>Model!P25</f>
        <v/>
      </c>
      <c r="Q27" s="99">
        <f>SUM(E27:P27)</f>
        <v/>
      </c>
    </row>
    <row r="28">
      <c r="D28" s="89" t="inlineStr">
        <is>
          <t>Accrued GTN (ExFactory-based)</t>
        </is>
      </c>
      <c r="E28" s="131">
        <f>E22</f>
        <v/>
      </c>
      <c r="F28" s="131">
        <f>F22</f>
        <v/>
      </c>
      <c r="G28" s="131">
        <f>G22</f>
        <v/>
      </c>
      <c r="H28" s="131">
        <f>H22</f>
        <v/>
      </c>
      <c r="I28" s="131">
        <f>I22</f>
        <v/>
      </c>
      <c r="J28" s="131">
        <f>J22</f>
        <v/>
      </c>
      <c r="K28" s="131">
        <f>K22</f>
        <v/>
      </c>
      <c r="L28" s="131">
        <f>L22</f>
        <v/>
      </c>
      <c r="M28" s="131">
        <f>M22</f>
        <v/>
      </c>
      <c r="N28" s="131">
        <f>N22</f>
        <v/>
      </c>
      <c r="O28" s="131">
        <f>O22</f>
        <v/>
      </c>
      <c r="P28" s="131">
        <f>P22</f>
        <v/>
      </c>
      <c r="Q28" s="99">
        <f>SUM(E28:P28)</f>
        <v/>
      </c>
    </row>
    <row r="29">
      <c r="D29" s="89" t="inlineStr">
        <is>
          <t>Variance (Accrued - Actual)</t>
        </is>
      </c>
      <c r="E29" s="132">
        <f>E28-E27</f>
        <v/>
      </c>
      <c r="F29" s="132">
        <f>F28-F27</f>
        <v/>
      </c>
      <c r="G29" s="132">
        <f>G28-G27</f>
        <v/>
      </c>
      <c r="H29" s="132">
        <f>H28-H27</f>
        <v/>
      </c>
      <c r="I29" s="132">
        <f>I28-I27</f>
        <v/>
      </c>
      <c r="J29" s="132">
        <f>J28-J27</f>
        <v/>
      </c>
      <c r="K29" s="132">
        <f>K28-K27</f>
        <v/>
      </c>
      <c r="L29" s="132">
        <f>L28-L27</f>
        <v/>
      </c>
      <c r="M29" s="132">
        <f>M28-M27</f>
        <v/>
      </c>
      <c r="N29" s="132">
        <f>N28-N27</f>
        <v/>
      </c>
      <c r="O29" s="132">
        <f>O28-O27</f>
        <v/>
      </c>
      <c r="P29" s="132">
        <f>P28-P27</f>
        <v/>
      </c>
      <c r="Q29" s="133">
        <f>SUM(E29:P29)</f>
        <v/>
      </c>
    </row>
    <row r="30">
      <c r="D30" s="89" t="inlineStr">
        <is>
          <t>Variance %</t>
        </is>
      </c>
      <c r="E30" s="134">
        <f>IFERROR(E29/E27,0)</f>
        <v/>
      </c>
      <c r="F30" s="134">
        <f>IFERROR(F29/F27,0)</f>
        <v/>
      </c>
      <c r="G30" s="134">
        <f>IFERROR(G29/G27,0)</f>
        <v/>
      </c>
      <c r="H30" s="134">
        <f>IFERROR(H29/H27,0)</f>
        <v/>
      </c>
      <c r="I30" s="134">
        <f>IFERROR(I29/I27,0)</f>
        <v/>
      </c>
      <c r="J30" s="134">
        <f>IFERROR(J29/J27,0)</f>
        <v/>
      </c>
      <c r="K30" s="134">
        <f>IFERROR(K29/K27,0)</f>
        <v/>
      </c>
      <c r="L30" s="134">
        <f>IFERROR(L29/L27,0)</f>
        <v/>
      </c>
      <c r="M30" s="134">
        <f>IFERROR(M29/M27,0)</f>
        <v/>
      </c>
      <c r="N30" s="134">
        <f>IFERROR(N29/N27,0)</f>
        <v/>
      </c>
      <c r="O30" s="134">
        <f>IFERROR(O29/O27,0)</f>
        <v/>
      </c>
      <c r="P30" s="134">
        <f>IFERROR(P29/P27,0)</f>
        <v/>
      </c>
      <c r="Q30" s="134">
        <f>IFERROR(Q29/Q27,0)</f>
        <v/>
      </c>
    </row>
    <row r="31">
      <c r="D31" s="89" t="inlineStr">
        <is>
          <t>Cumulative Variance</t>
        </is>
      </c>
      <c r="E31" s="99">
        <f>E29</f>
        <v/>
      </c>
      <c r="F31" s="132">
        <f>E31+F29</f>
        <v/>
      </c>
      <c r="G31" s="132">
        <f>F31+G29</f>
        <v/>
      </c>
      <c r="H31" s="132">
        <f>G31+H29</f>
        <v/>
      </c>
      <c r="I31" s="132">
        <f>H31+I29</f>
        <v/>
      </c>
      <c r="J31" s="132">
        <f>I31+J29</f>
        <v/>
      </c>
      <c r="K31" s="132">
        <f>J31+K29</f>
        <v/>
      </c>
      <c r="L31" s="132">
        <f>K31+L29</f>
        <v/>
      </c>
      <c r="M31" s="132">
        <f>L31+M29</f>
        <v/>
      </c>
      <c r="N31" s="132">
        <f>M31+N29</f>
        <v/>
      </c>
      <c r="O31" s="132">
        <f>N31+O29</f>
        <v/>
      </c>
      <c r="P31" s="132">
        <f>O31+P29</f>
        <v/>
      </c>
      <c r="Q31" s="100" t="n"/>
    </row>
    <row r="32">
      <c r="D32" s="89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</row>
    <row r="33">
      <c r="D33" s="89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</row>
    <row r="34" ht="15.75" customHeight="1" s="74">
      <c r="A34" s="75" t="inlineStr">
        <is>
          <t>ACCRUAL RESERVE BALANCE (Balance Sheet)</t>
        </is>
      </c>
      <c r="D34" s="89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</row>
    <row r="35">
      <c r="D35" s="81" t="inlineStr">
        <is>
          <t>Beginning Balance</t>
        </is>
      </c>
      <c r="E35" s="54" t="n">
        <v>0</v>
      </c>
      <c r="F35" s="22">
        <f>E38</f>
        <v/>
      </c>
      <c r="G35" s="22">
        <f>F38</f>
        <v/>
      </c>
      <c r="H35" s="22">
        <f>G38</f>
        <v/>
      </c>
      <c r="I35" s="22">
        <f>H38</f>
        <v/>
      </c>
      <c r="J35" s="22">
        <f>I38</f>
        <v/>
      </c>
      <c r="K35" s="22">
        <f>J38</f>
        <v/>
      </c>
      <c r="L35" s="22">
        <f>K38</f>
        <v/>
      </c>
      <c r="M35" s="22">
        <f>L38</f>
        <v/>
      </c>
      <c r="N35" s="22">
        <f>M38</f>
        <v/>
      </c>
      <c r="O35" s="22">
        <f>N38</f>
        <v/>
      </c>
      <c r="P35" s="22">
        <f>O38</f>
        <v/>
      </c>
    </row>
    <row r="36">
      <c r="D36" s="81" t="inlineStr">
        <is>
          <t>+ Accrual (I/S Charge)</t>
        </is>
      </c>
      <c r="E36" s="22">
        <f>E22</f>
        <v/>
      </c>
      <c r="F36" s="22">
        <f>F22</f>
        <v/>
      </c>
      <c r="G36" s="22">
        <f>G22</f>
        <v/>
      </c>
      <c r="H36" s="22">
        <f>H22</f>
        <v/>
      </c>
      <c r="I36" s="22">
        <f>I22</f>
        <v/>
      </c>
      <c r="J36" s="22">
        <f>J22</f>
        <v/>
      </c>
      <c r="K36" s="22">
        <f>K22</f>
        <v/>
      </c>
      <c r="L36" s="22">
        <f>L22</f>
        <v/>
      </c>
      <c r="M36" s="22">
        <f>M22</f>
        <v/>
      </c>
      <c r="N36" s="22">
        <f>N22</f>
        <v/>
      </c>
      <c r="O36" s="22">
        <f>O22</f>
        <v/>
      </c>
      <c r="P36" s="22">
        <f>P22</f>
        <v/>
      </c>
      <c r="Q36" s="22">
        <f>SUM(E36:P36)</f>
        <v/>
      </c>
    </row>
    <row r="37">
      <c r="D37" s="81" t="inlineStr">
        <is>
          <t>- Actual Payments</t>
        </is>
      </c>
      <c r="E37" s="22">
        <f>E27</f>
        <v/>
      </c>
      <c r="F37" s="22">
        <f>F27</f>
        <v/>
      </c>
      <c r="G37" s="22">
        <f>G27</f>
        <v/>
      </c>
      <c r="H37" s="22">
        <f>H27</f>
        <v/>
      </c>
      <c r="I37" s="22">
        <f>I27</f>
        <v/>
      </c>
      <c r="J37" s="22">
        <f>J27</f>
        <v/>
      </c>
      <c r="K37" s="22">
        <f>K27</f>
        <v/>
      </c>
      <c r="L37" s="22">
        <f>L27</f>
        <v/>
      </c>
      <c r="M37" s="22">
        <f>M27</f>
        <v/>
      </c>
      <c r="N37" s="22">
        <f>N27</f>
        <v/>
      </c>
      <c r="O37" s="22">
        <f>O27</f>
        <v/>
      </c>
      <c r="P37" s="22">
        <f>P27</f>
        <v/>
      </c>
      <c r="Q37" s="22">
        <f>SUM(E37:P37)</f>
        <v/>
      </c>
    </row>
    <row r="38" ht="15.75" customHeight="1" s="74">
      <c r="D38" s="75" t="inlineStr">
        <is>
          <t>Ending Balance</t>
        </is>
      </c>
      <c r="E38" s="26">
        <f>E35+E36-E37</f>
        <v/>
      </c>
      <c r="F38" s="26">
        <f>F35+F36-F37</f>
        <v/>
      </c>
      <c r="G38" s="26">
        <f>G35+G36-G37</f>
        <v/>
      </c>
      <c r="H38" s="26">
        <f>H35+H36-H37</f>
        <v/>
      </c>
      <c r="I38" s="26">
        <f>I35+I36-I37</f>
        <v/>
      </c>
      <c r="J38" s="26">
        <f>J35+J36-J37</f>
        <v/>
      </c>
      <c r="K38" s="26">
        <f>K35+K36-K37</f>
        <v/>
      </c>
      <c r="L38" s="26">
        <f>L35+L36-L37</f>
        <v/>
      </c>
      <c r="M38" s="26">
        <f>M35+M36-M37</f>
        <v/>
      </c>
      <c r="N38" s="26">
        <f>N35+N36-N37</f>
        <v/>
      </c>
      <c r="O38" s="26">
        <f>O35+O36-O37</f>
        <v/>
      </c>
      <c r="P38" s="26">
        <f>P35+P36-P37</f>
        <v/>
      </c>
    </row>
    <row r="41">
      <c r="A41" s="76" t="inlineStr">
        <is>
          <t>KEY METRICS FOR FINANCE</t>
        </is>
      </c>
    </row>
    <row r="42" ht="15.75" customHeight="1" s="74">
      <c r="A42" s="81" t="inlineStr">
        <is>
          <t>Annual ExFactory Revenue</t>
        </is>
      </c>
      <c r="C42" s="55">
        <f>Q13</f>
        <v/>
      </c>
    </row>
    <row r="43" ht="15.75" customHeight="1" s="74">
      <c r="A43" s="81" t="inlineStr">
        <is>
          <t>Annual GTN Accrual</t>
        </is>
      </c>
      <c r="C43" s="55">
        <f>Q22</f>
        <v/>
      </c>
    </row>
    <row r="44" ht="15.75" customHeight="1" s="74">
      <c r="A44" s="81" t="inlineStr">
        <is>
          <t>Annual Net Revenue</t>
        </is>
      </c>
      <c r="C44" s="55">
        <f>Q23</f>
        <v/>
      </c>
    </row>
    <row r="45" ht="15.75" customHeight="1" s="74">
      <c r="A45" s="81" t="inlineStr">
        <is>
          <t>Effective GTN Rate</t>
        </is>
      </c>
      <c r="C45" s="56">
        <f>Q22/Q13</f>
        <v/>
      </c>
    </row>
    <row r="46" ht="15.75" customHeight="1" s="74">
      <c r="A46" s="81" t="inlineStr">
        <is>
          <t>Accrual vs Actual Variance</t>
        </is>
      </c>
      <c r="C46" s="57">
        <f>Q29</f>
        <v/>
      </c>
    </row>
    <row r="47" ht="15.75" customHeight="1" s="74">
      <c r="A47" s="81" t="inlineStr">
        <is>
          <t>Year-End Reserve Balance</t>
        </is>
      </c>
      <c r="C47" s="55">
        <f>P38</f>
        <v/>
      </c>
    </row>
    <row r="50">
      <c r="A50" s="40" t="inlineStr">
        <is>
          <t>Month</t>
        </is>
      </c>
      <c r="B50" s="40" t="inlineStr">
        <is>
          <t>Accrued</t>
        </is>
      </c>
      <c r="C50" s="40" t="inlineStr">
        <is>
          <t>Actual</t>
        </is>
      </c>
    </row>
    <row r="51">
      <c r="A51" t="inlineStr">
        <is>
          <t>Jan</t>
        </is>
      </c>
      <c r="B51" s="22">
        <f>E28</f>
        <v/>
      </c>
      <c r="C51" s="22">
        <f>E27</f>
        <v/>
      </c>
    </row>
    <row r="52">
      <c r="A52" t="inlineStr">
        <is>
          <t>Feb</t>
        </is>
      </c>
      <c r="B52" s="22">
        <f>F28</f>
        <v/>
      </c>
      <c r="C52" s="22">
        <f>F27</f>
        <v/>
      </c>
    </row>
    <row r="53">
      <c r="A53" t="inlineStr">
        <is>
          <t>Mar</t>
        </is>
      </c>
      <c r="B53" s="22">
        <f>G28</f>
        <v/>
      </c>
      <c r="C53" s="22">
        <f>G27</f>
        <v/>
      </c>
    </row>
    <row r="54">
      <c r="A54" t="inlineStr">
        <is>
          <t>Apr</t>
        </is>
      </c>
      <c r="B54" s="22">
        <f>H28</f>
        <v/>
      </c>
      <c r="C54" s="22">
        <f>H27</f>
        <v/>
      </c>
    </row>
    <row r="55">
      <c r="A55" t="inlineStr">
        <is>
          <t>May</t>
        </is>
      </c>
      <c r="B55" s="22">
        <f>I28</f>
        <v/>
      </c>
      <c r="C55" s="22">
        <f>I27</f>
        <v/>
      </c>
    </row>
    <row r="56">
      <c r="A56" t="inlineStr">
        <is>
          <t>Jun</t>
        </is>
      </c>
      <c r="B56" s="22">
        <f>J28</f>
        <v/>
      </c>
      <c r="C56" s="22">
        <f>J27</f>
        <v/>
      </c>
    </row>
    <row r="57">
      <c r="A57" t="inlineStr">
        <is>
          <t>Jul</t>
        </is>
      </c>
      <c r="B57" s="22">
        <f>K28</f>
        <v/>
      </c>
      <c r="C57" s="22">
        <f>K27</f>
        <v/>
      </c>
    </row>
    <row r="58">
      <c r="A58" t="inlineStr">
        <is>
          <t>Aug</t>
        </is>
      </c>
      <c r="B58" s="22">
        <f>L28</f>
        <v/>
      </c>
      <c r="C58" s="22">
        <f>L27</f>
        <v/>
      </c>
    </row>
    <row r="59">
      <c r="A59" t="inlineStr">
        <is>
          <t>Sep</t>
        </is>
      </c>
      <c r="B59" s="22">
        <f>M28</f>
        <v/>
      </c>
      <c r="C59" s="22">
        <f>M27</f>
        <v/>
      </c>
    </row>
    <row r="60">
      <c r="A60" t="inlineStr">
        <is>
          <t>Oct</t>
        </is>
      </c>
      <c r="B60" s="22">
        <f>N28</f>
        <v/>
      </c>
      <c r="C60" s="22">
        <f>N27</f>
        <v/>
      </c>
    </row>
    <row r="61">
      <c r="A61" t="inlineStr">
        <is>
          <t>Nov</t>
        </is>
      </c>
      <c r="B61" s="22">
        <f>O28</f>
        <v/>
      </c>
      <c r="C61" s="22">
        <f>O27</f>
        <v/>
      </c>
    </row>
    <row r="62">
      <c r="A62" t="inlineStr">
        <is>
          <t>Dec</t>
        </is>
      </c>
      <c r="B62" s="22">
        <f>P28</f>
        <v/>
      </c>
      <c r="C62" s="22">
        <f>P27</f>
        <v/>
      </c>
    </row>
    <row r="65" ht="15.75" customHeight="1" s="74">
      <c r="A65" s="75" t="inlineStr">
        <is>
          <t>HOW TO USE FOR ACCRUALS</t>
        </is>
      </c>
    </row>
    <row r="66">
      <c r="A66" s="82" t="inlineStr">
        <is>
          <t>1. ExFactory Units (row 11): Update monthly with actual shipments to wholesalers</t>
        </is>
      </c>
    </row>
    <row r="67">
      <c r="A67" s="82" t="inlineStr">
        <is>
          <t>2. GTN Accrual (row 22): Book this to I/S as contra-revenue each month</t>
        </is>
      </c>
    </row>
    <row r="68">
      <c r="A68" s="82" t="inlineStr">
        <is>
          <t>3. Actual GTN Costs (row 27): From Rx demand model - reconcile as claims come in</t>
        </is>
      </c>
    </row>
    <row r="69">
      <c r="A69" s="82" t="inlineStr">
        <is>
          <t>4. Variance (row 29): Positive = over-accrued (favorable), Negative = under-accrued</t>
        </is>
      </c>
    </row>
    <row r="70">
      <c r="A70" s="82" t="inlineStr">
        <is>
          <t>5. Reserve Balance (row 38): Should be positive; tracks timing difference</t>
        </is>
      </c>
    </row>
    <row r="71">
      <c r="A71" s="82" t="n"/>
    </row>
    <row r="72">
      <c r="A72" s="81" t="inlineStr">
        <is>
          <t>WHY VARIANCE EXISTS:</t>
        </is>
      </c>
    </row>
    <row r="73">
      <c r="A73" s="82" t="inlineStr">
        <is>
          <t>• ExFactory ≠ Rx Demand due to channel inventory buildup/drawdown</t>
        </is>
      </c>
    </row>
    <row r="74">
      <c r="A74" s="82" t="inlineStr">
        <is>
          <t>• GTN % applies to Rx at point of dispensing, not ExFactory shipment</t>
        </is>
      </c>
    </row>
    <row r="75">
      <c r="A75" s="82" t="inlineStr">
        <is>
          <t>• Early months: ExFactory &gt; Rx (building inventory) → Over-accrual</t>
        </is>
      </c>
    </row>
    <row r="76">
      <c r="A76" s="82" t="inlineStr">
        <is>
          <t>• Later months: May reverse as inventory normalizes</t>
        </is>
      </c>
    </row>
  </sheetData>
  <mergeCells count="26">
    <mergeCell ref="A41:C41"/>
    <mergeCell ref="A45:B45"/>
    <mergeCell ref="A72:G72"/>
    <mergeCell ref="A68:G68"/>
    <mergeCell ref="A26:C26"/>
    <mergeCell ref="A67:G67"/>
    <mergeCell ref="A46:B46"/>
    <mergeCell ref="A73:G73"/>
    <mergeCell ref="A20:C20"/>
    <mergeCell ref="A10:C10"/>
    <mergeCell ref="A70:G70"/>
    <mergeCell ref="A69:G69"/>
    <mergeCell ref="A47:B47"/>
    <mergeCell ref="A42:B42"/>
    <mergeCell ref="A34:C34"/>
    <mergeCell ref="A65:G65"/>
    <mergeCell ref="A5:Q5"/>
    <mergeCell ref="A75:G75"/>
    <mergeCell ref="A66:G66"/>
    <mergeCell ref="A74:G74"/>
    <mergeCell ref="A43:B43"/>
    <mergeCell ref="A4:Q4"/>
    <mergeCell ref="A44:B44"/>
    <mergeCell ref="D7:P7"/>
    <mergeCell ref="A76:G76"/>
    <mergeCell ref="A71:G7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F36"/>
  <sheetViews>
    <sheetView topLeftCell="A15" workbookViewId="0">
      <selection activeCell="A13" sqref="A13:D13"/>
    </sheetView>
  </sheetViews>
  <sheetFormatPr baseColWidth="8" defaultRowHeight="15"/>
  <cols>
    <col width="18" customWidth="1" style="74" min="1" max="1"/>
    <col width="14" customWidth="1" style="74" min="2" max="2"/>
    <col width="12" customWidth="1" style="74" min="3" max="3"/>
    <col width="14" customWidth="1" style="74" min="4" max="4"/>
  </cols>
  <sheetData>
    <row r="4" ht="23.25" customHeight="1" s="74">
      <c r="A4" s="73" t="inlineStr">
        <is>
          <t>SENSITIVITY ANALYSIS</t>
        </is>
      </c>
    </row>
    <row r="7" ht="15.75" customHeight="1" s="74">
      <c r="A7" s="75" t="inlineStr">
        <is>
          <t>CURRENT MODEL BASELINE</t>
        </is>
      </c>
    </row>
    <row r="8" ht="15.75" customHeight="1" s="74">
      <c r="A8" t="inlineStr">
        <is>
          <t>Annual GTN %</t>
        </is>
      </c>
      <c r="B8" s="41">
        <f>Model!Q27</f>
        <v/>
      </c>
    </row>
    <row r="9">
      <c r="A9" t="inlineStr">
        <is>
          <t>Avg Coverage Uptake</t>
        </is>
      </c>
      <c r="B9" s="19">
        <f>AVERAGE(Assumptions!C22:C33)</f>
        <v/>
      </c>
    </row>
    <row r="10">
      <c r="A10" t="inlineStr">
        <is>
          <t>Medical Exception Rate</t>
        </is>
      </c>
      <c r="B10" s="19">
        <f>Assumptions!C11</f>
        <v/>
      </c>
    </row>
    <row r="13" ht="15.75" customHeight="1" s="74">
      <c r="A13" s="78" t="inlineStr">
        <is>
          <t>COVERAGE UPTAKE IMPACT</t>
        </is>
      </c>
    </row>
    <row r="14">
      <c r="A14" s="29" t="inlineStr">
        <is>
          <t>Coverage %</t>
        </is>
      </c>
      <c r="B14" s="29" t="inlineStr">
        <is>
          <t>Est. GTN %</t>
        </is>
      </c>
      <c r="C14" s="29" t="inlineStr">
        <is>
          <t>Change</t>
        </is>
      </c>
      <c r="D14" s="29" t="inlineStr">
        <is>
          <t>$ Impact</t>
        </is>
      </c>
    </row>
    <row r="15">
      <c r="A15" s="42" t="n">
        <v>0.1</v>
      </c>
      <c r="B15" s="23">
        <f>$B$8*(1+($B$9-A15)*1.5)</f>
        <v/>
      </c>
      <c r="C15" s="37">
        <f>B15-$B$8</f>
        <v/>
      </c>
      <c r="D15" s="22">
        <f>C15*Model!Q26</f>
        <v/>
      </c>
    </row>
    <row r="16">
      <c r="A16" s="42" t="n">
        <v>0.2</v>
      </c>
      <c r="B16" s="23">
        <f>$B$8*(1+($B$9-A16)*1.5)</f>
        <v/>
      </c>
      <c r="C16" s="37">
        <f>B16-$B$8</f>
        <v/>
      </c>
      <c r="D16" s="22">
        <f>C16*Model!Q26</f>
        <v/>
      </c>
    </row>
    <row r="17">
      <c r="A17" s="42" t="n">
        <v>0.3</v>
      </c>
      <c r="B17" s="23">
        <f>$B$8*(1+($B$9-A17)*1.5)</f>
        <v/>
      </c>
      <c r="C17" s="37">
        <f>B17-$B$8</f>
        <v/>
      </c>
      <c r="D17" s="22">
        <f>C17*Model!Q26</f>
        <v/>
      </c>
    </row>
    <row r="18">
      <c r="A18" s="42" t="n">
        <v>0.4</v>
      </c>
      <c r="B18" s="23">
        <f>$B$8*(1+($B$9-A18)*1.5)</f>
        <v/>
      </c>
      <c r="C18" s="37">
        <f>B18-$B$8</f>
        <v/>
      </c>
      <c r="D18" s="22">
        <f>C18*Model!Q26</f>
        <v/>
      </c>
    </row>
    <row r="19">
      <c r="A19" s="42" t="n">
        <v>0.5</v>
      </c>
      <c r="B19" s="23">
        <f>$B$8*(1+($B$9-A19)*1.5)</f>
        <v/>
      </c>
      <c r="C19" s="37">
        <f>B19-$B$8</f>
        <v/>
      </c>
      <c r="D19" s="22">
        <f>C19*Model!Q26</f>
        <v/>
      </c>
    </row>
    <row r="20">
      <c r="A20" s="42" t="n">
        <v>0.6</v>
      </c>
      <c r="B20" s="23">
        <f>$B$8*(1+($B$9-A20)*1.5)</f>
        <v/>
      </c>
      <c r="C20" s="37">
        <f>B20-$B$8</f>
        <v/>
      </c>
      <c r="D20" s="22">
        <f>C20*Model!Q26</f>
        <v/>
      </c>
    </row>
    <row r="21">
      <c r="A21" s="42" t="n">
        <v>0.7</v>
      </c>
      <c r="B21" s="23">
        <f>$B$8*(1+($B$9-A21)*1.5)</f>
        <v/>
      </c>
      <c r="C21" s="37">
        <f>B21-$B$8</f>
        <v/>
      </c>
      <c r="D21" s="22">
        <f>C21*Model!Q26</f>
        <v/>
      </c>
    </row>
    <row r="22">
      <c r="A22" s="42" t="n">
        <v>0.8</v>
      </c>
      <c r="B22" s="23">
        <f>$B$8*(1+($B$9-A22)*1.5)</f>
        <v/>
      </c>
      <c r="C22" s="37">
        <f>B22-$B$8</f>
        <v/>
      </c>
      <c r="D22" s="22">
        <f>C22*Model!Q26</f>
        <v/>
      </c>
    </row>
    <row r="25">
      <c r="A25" s="76" t="inlineStr">
        <is>
          <t>MEDICAL EXCEPTION IMPACT</t>
        </is>
      </c>
    </row>
    <row r="26">
      <c r="A26" s="29" t="inlineStr">
        <is>
          <t>Exception %</t>
        </is>
      </c>
      <c r="B26" s="29" t="inlineStr">
        <is>
          <t>Est. GTN %</t>
        </is>
      </c>
      <c r="C26" s="29" t="inlineStr">
        <is>
          <t>Change</t>
        </is>
      </c>
      <c r="D26" s="29" t="inlineStr">
        <is>
          <t>$ Impact</t>
        </is>
      </c>
    </row>
    <row r="27">
      <c r="A27" s="42" t="n">
        <v>0</v>
      </c>
      <c r="B27" s="23">
        <f>$B$8*(1-A27*0.5)</f>
        <v/>
      </c>
      <c r="C27" s="37">
        <f>B27-$B$8</f>
        <v/>
      </c>
      <c r="D27" s="22">
        <f>C27*Model!Q26</f>
        <v/>
      </c>
    </row>
    <row r="28">
      <c r="A28" s="42" t="n">
        <v>0.05</v>
      </c>
      <c r="B28" s="23">
        <f>$B$8*(1-A28*0.5)</f>
        <v/>
      </c>
      <c r="C28" s="37">
        <f>B28-$B$8</f>
        <v/>
      </c>
      <c r="D28" s="22">
        <f>C28*Model!Q26</f>
        <v/>
      </c>
    </row>
    <row r="29">
      <c r="A29" s="42" t="n">
        <v>0.1</v>
      </c>
      <c r="B29" s="23">
        <f>$B$8*(1-A29*0.5)</f>
        <v/>
      </c>
      <c r="C29" s="37">
        <f>B29-$B$8</f>
        <v/>
      </c>
      <c r="D29" s="22">
        <f>C29*Model!Q26</f>
        <v/>
      </c>
    </row>
    <row r="30">
      <c r="A30" s="42" t="n">
        <v>0.15</v>
      </c>
      <c r="B30" s="23">
        <f>$B$8*(1-A30*0.5)</f>
        <v/>
      </c>
      <c r="C30" s="37">
        <f>B30-$B$8</f>
        <v/>
      </c>
      <c r="D30" s="22">
        <f>C30*Model!Q26</f>
        <v/>
      </c>
    </row>
    <row r="31">
      <c r="A31" s="42" t="n">
        <v>0.2</v>
      </c>
      <c r="B31" s="23">
        <f>$B$8*(1-A31*0.5)</f>
        <v/>
      </c>
      <c r="C31" s="37">
        <f>B31-$B$8</f>
        <v/>
      </c>
      <c r="D31" s="22">
        <f>C31*Model!Q26</f>
        <v/>
      </c>
    </row>
    <row r="32">
      <c r="A32" s="42" t="n">
        <v>0.25</v>
      </c>
      <c r="B32" s="23">
        <f>$B$8*(1-A32*0.5)</f>
        <v/>
      </c>
      <c r="C32" s="37">
        <f>B32-$B$8</f>
        <v/>
      </c>
      <c r="D32" s="22">
        <f>C32*Model!Q26</f>
        <v/>
      </c>
    </row>
    <row r="35" ht="15.75" customHeight="1" s="74">
      <c r="A35" s="75" t="inlineStr">
        <is>
          <t>KEY INSIGHT</t>
        </is>
      </c>
    </row>
    <row r="36">
      <c r="A36" s="81" t="inlineStr">
        <is>
          <t>Coverage has the HIGHEST impact. +10% coverage ≈ -15% GTN</t>
        </is>
      </c>
    </row>
  </sheetData>
  <mergeCells count="6">
    <mergeCell ref="A35:D35"/>
    <mergeCell ref="A25:D25"/>
    <mergeCell ref="A4:F4"/>
    <mergeCell ref="A7:C7"/>
    <mergeCell ref="A36:D36"/>
    <mergeCell ref="A13:D1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Q37"/>
  <sheetViews>
    <sheetView showGridLines="0" topLeftCell="A9" workbookViewId="0">
      <selection activeCell="R19" sqref="R19"/>
    </sheetView>
  </sheetViews>
  <sheetFormatPr baseColWidth="8" defaultRowHeight="15"/>
  <cols>
    <col width="3" customWidth="1" style="74" min="1" max="1"/>
    <col width="3" bestFit="1" customWidth="1" style="74" min="2" max="3"/>
    <col width="3" customWidth="1" style="74" min="3" max="3"/>
    <col width="20" customWidth="1" style="74" min="4" max="4"/>
    <col width="10" customWidth="1" style="74" min="5" max="16"/>
    <col width="10" customWidth="1" style="74" min="6" max="6"/>
    <col width="10" customWidth="1" style="74" min="7" max="7"/>
    <col width="10" customWidth="1" style="74" min="8" max="8"/>
    <col width="10" customWidth="1" style="74" min="9" max="9"/>
    <col width="10" customWidth="1" style="74" min="10" max="10"/>
    <col width="10" customWidth="1" style="74" min="11" max="11"/>
    <col width="10" customWidth="1" style="74" min="12" max="12"/>
    <col width="10" customWidth="1" style="74" min="13" max="13"/>
    <col width="10" customWidth="1" style="74" min="14" max="14"/>
    <col width="10" customWidth="1" style="74" min="15" max="15"/>
    <col width="10" customWidth="1" style="74" min="16" max="16"/>
    <col width="10" customWidth="1" style="74" min="17" max="17"/>
  </cols>
  <sheetData>
    <row r="4" ht="23.25" customHeight="1" s="74">
      <c r="A4" s="117" t="inlineStr">
        <is>
          <t>SCENARIO ANALYSIS - MONTHLY VIEW</t>
        </is>
      </c>
    </row>
    <row r="5">
      <c r="A5" s="135" t="inlineStr">
        <is>
          <t>For Finance Accruals: Edit PURPLE cells to model alternative coverage scenarios by month</t>
        </is>
      </c>
    </row>
    <row r="7" ht="15.75" customHeight="1" s="74">
      <c r="A7" s="119" t="inlineStr">
        <is>
          <t>BASELINE (Current Model)</t>
        </is>
      </c>
      <c r="E7" s="80" t="inlineStr">
        <is>
          <t>Jan</t>
        </is>
      </c>
      <c r="F7" s="80" t="inlineStr">
        <is>
          <t>Feb</t>
        </is>
      </c>
      <c r="G7" s="80" t="inlineStr">
        <is>
          <t>Mar</t>
        </is>
      </c>
      <c r="H7" s="80" t="inlineStr">
        <is>
          <t>Apr</t>
        </is>
      </c>
      <c r="I7" s="80" t="inlineStr">
        <is>
          <t>May</t>
        </is>
      </c>
      <c r="J7" s="80" t="inlineStr">
        <is>
          <t>Jun</t>
        </is>
      </c>
      <c r="K7" s="80" t="inlineStr">
        <is>
          <t>Jul</t>
        </is>
      </c>
      <c r="L7" s="80" t="inlineStr">
        <is>
          <t>Aug</t>
        </is>
      </c>
      <c r="M7" s="80" t="inlineStr">
        <is>
          <t>Sep</t>
        </is>
      </c>
      <c r="N7" s="80" t="inlineStr">
        <is>
          <t>Oct</t>
        </is>
      </c>
      <c r="O7" s="80" t="inlineStr">
        <is>
          <t>Nov</t>
        </is>
      </c>
      <c r="P7" s="80" t="inlineStr">
        <is>
          <t>Dec</t>
        </is>
      </c>
      <c r="Q7" s="80" t="inlineStr">
        <is>
          <t>ANNUAL</t>
        </is>
      </c>
    </row>
    <row r="8">
      <c r="D8" s="89" t="inlineStr">
        <is>
          <t>Coverage Uptake</t>
        </is>
      </c>
      <c r="E8" s="98">
        <f>Assumptions!C22</f>
        <v/>
      </c>
      <c r="F8" s="98">
        <f>Assumptions!C23</f>
        <v/>
      </c>
      <c r="G8" s="98">
        <f>Assumptions!C24</f>
        <v/>
      </c>
      <c r="H8" s="98">
        <f>Assumptions!C25</f>
        <v/>
      </c>
      <c r="I8" s="98">
        <f>Assumptions!C26</f>
        <v/>
      </c>
      <c r="J8" s="98">
        <f>Assumptions!C27</f>
        <v/>
      </c>
      <c r="K8" s="98">
        <f>Assumptions!C28</f>
        <v/>
      </c>
      <c r="L8" s="98">
        <f>Assumptions!C29</f>
        <v/>
      </c>
      <c r="M8" s="98">
        <f>Assumptions!C30</f>
        <v/>
      </c>
      <c r="N8" s="98">
        <f>Assumptions!C31</f>
        <v/>
      </c>
      <c r="O8" s="98">
        <f>Assumptions!C32</f>
        <v/>
      </c>
      <c r="P8" s="98">
        <f>Assumptions!C33</f>
        <v/>
      </c>
      <c r="Q8" s="19">
        <f>AVERAGE(E8:P8)</f>
        <v/>
      </c>
    </row>
    <row r="9">
      <c r="D9" s="89" t="inlineStr">
        <is>
          <t>GTN %</t>
        </is>
      </c>
      <c r="E9" s="97">
        <f>Model!E27</f>
        <v/>
      </c>
      <c r="F9" s="97">
        <f>Model!F27</f>
        <v/>
      </c>
      <c r="G9" s="97">
        <f>Model!G27</f>
        <v/>
      </c>
      <c r="H9" s="97">
        <f>Model!H27</f>
        <v/>
      </c>
      <c r="I9" s="97">
        <f>Model!I27</f>
        <v/>
      </c>
      <c r="J9" s="97">
        <f>Model!J27</f>
        <v/>
      </c>
      <c r="K9" s="97">
        <f>Model!K27</f>
        <v/>
      </c>
      <c r="L9" s="97">
        <f>Model!L27</f>
        <v/>
      </c>
      <c r="M9" s="97">
        <f>Model!M27</f>
        <v/>
      </c>
      <c r="N9" s="97">
        <f>Model!N27</f>
        <v/>
      </c>
      <c r="O9" s="97">
        <f>Model!O27</f>
        <v/>
      </c>
      <c r="P9" s="97">
        <f>Model!P27</f>
        <v/>
      </c>
      <c r="Q9" s="23">
        <f>Model!Q27</f>
        <v/>
      </c>
    </row>
    <row r="10">
      <c r="D10" s="89" t="inlineStr">
        <is>
          <t>Program Costs</t>
        </is>
      </c>
      <c r="E10" s="101">
        <f>Model!E25</f>
        <v/>
      </c>
      <c r="F10" s="101">
        <f>Model!F25</f>
        <v/>
      </c>
      <c r="G10" s="101">
        <f>Model!G25</f>
        <v/>
      </c>
      <c r="H10" s="101">
        <f>Model!H25</f>
        <v/>
      </c>
      <c r="I10" s="101">
        <f>Model!I25</f>
        <v/>
      </c>
      <c r="J10" s="101">
        <f>Model!J25</f>
        <v/>
      </c>
      <c r="K10" s="101">
        <f>Model!K25</f>
        <v/>
      </c>
      <c r="L10" s="101">
        <f>Model!L25</f>
        <v/>
      </c>
      <c r="M10" s="101">
        <f>Model!M25</f>
        <v/>
      </c>
      <c r="N10" s="101">
        <f>Model!N25</f>
        <v/>
      </c>
      <c r="O10" s="101">
        <f>Model!O25</f>
        <v/>
      </c>
      <c r="P10" s="101">
        <f>Model!P25</f>
        <v/>
      </c>
      <c r="Q10" s="22">
        <f>SUM(E10:P10)</f>
        <v/>
      </c>
    </row>
    <row r="11">
      <c r="D11" s="89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</row>
    <row r="13" ht="15.75" customHeight="1" s="74">
      <c r="A13" s="136" t="inlineStr">
        <is>
          <t>SCENARIO (Edit Coverage Below)</t>
        </is>
      </c>
      <c r="E13" s="31" t="inlineStr">
        <is>
          <t>Jan</t>
        </is>
      </c>
      <c r="F13" s="31" t="inlineStr">
        <is>
          <t>Feb</t>
        </is>
      </c>
      <c r="G13" s="31" t="inlineStr">
        <is>
          <t>Mar</t>
        </is>
      </c>
      <c r="H13" s="31" t="inlineStr">
        <is>
          <t>Apr</t>
        </is>
      </c>
      <c r="I13" s="31" t="inlineStr">
        <is>
          <t>May</t>
        </is>
      </c>
      <c r="J13" s="31" t="inlineStr">
        <is>
          <t>Jun</t>
        </is>
      </c>
      <c r="K13" s="31" t="inlineStr">
        <is>
          <t>Jul</t>
        </is>
      </c>
      <c r="L13" s="31" t="inlineStr">
        <is>
          <t>Aug</t>
        </is>
      </c>
      <c r="M13" s="31" t="inlineStr">
        <is>
          <t>Sep</t>
        </is>
      </c>
      <c r="N13" s="31" t="inlineStr">
        <is>
          <t>Oct</t>
        </is>
      </c>
      <c r="O13" s="31" t="inlineStr">
        <is>
          <t>Nov</t>
        </is>
      </c>
      <c r="P13" s="31" t="inlineStr">
        <is>
          <t>Dec</t>
        </is>
      </c>
      <c r="Q13" s="31" t="inlineStr">
        <is>
          <t>ANNUAL</t>
        </is>
      </c>
    </row>
    <row r="14">
      <c r="D14" s="89" t="inlineStr">
        <is>
          <t>Scenario Coverage</t>
        </is>
      </c>
      <c r="E14" s="137" t="n">
        <v>0</v>
      </c>
      <c r="F14" s="137" t="n">
        <v>0</v>
      </c>
      <c r="G14" s="137" t="n">
        <v>0</v>
      </c>
      <c r="H14" s="137" t="n">
        <v>0.06</v>
      </c>
      <c r="I14" s="137" t="n">
        <v>0.11</v>
      </c>
      <c r="J14" s="137" t="n">
        <v>0.29</v>
      </c>
      <c r="K14" s="137" t="n">
        <v>0.44</v>
      </c>
      <c r="L14" s="137" t="n">
        <v>0.52</v>
      </c>
      <c r="M14" s="137" t="n">
        <v>0.58</v>
      </c>
      <c r="N14" s="137" t="n">
        <v>0.58</v>
      </c>
      <c r="O14" s="137" t="n">
        <v>0.58</v>
      </c>
      <c r="P14" s="137" t="n">
        <v>0.58</v>
      </c>
      <c r="Q14" s="19">
        <f>AVERAGE(E14:P14)</f>
        <v/>
      </c>
    </row>
    <row r="15">
      <c r="D15" s="89" t="inlineStr">
        <is>
          <t>Scenario GTN %</t>
        </is>
      </c>
      <c r="E15" s="98">
        <f>MAX(0,E9*(1+(E8-E14)*1.5))</f>
        <v/>
      </c>
      <c r="F15" s="98">
        <f>MAX(0,F9*(1+(F8-F14)*1.5))</f>
        <v/>
      </c>
      <c r="G15" s="98">
        <f>MAX(0,G9*(1+(G8-G14)*1.5))</f>
        <v/>
      </c>
      <c r="H15" s="98">
        <f>MAX(0,H9*(1+(H8-H14)*1.5))</f>
        <v/>
      </c>
      <c r="I15" s="98">
        <f>MAX(0,I9*(1+(I8-I14)*1.5))</f>
        <v/>
      </c>
      <c r="J15" s="98">
        <f>MAX(0,J9*(1+(J8-J14)*1.5))</f>
        <v/>
      </c>
      <c r="K15" s="98">
        <f>MAX(0,K9*(1+(K8-K14)*1.5))</f>
        <v/>
      </c>
      <c r="L15" s="98">
        <f>MAX(0,L9*(1+(L8-L14)*1.5))</f>
        <v/>
      </c>
      <c r="M15" s="98">
        <f>MAX(0,M9*(1+(M8-M14)*1.5))</f>
        <v/>
      </c>
      <c r="N15" s="98">
        <f>MAX(0,N9*(1+(N8-N14)*1.5))</f>
        <v/>
      </c>
      <c r="O15" s="98">
        <f>MAX(0,O9*(1+(O8-O14)*1.5))</f>
        <v/>
      </c>
      <c r="P15" s="98">
        <f>MAX(0,P9*(1+(P8-P14)*1.5))</f>
        <v/>
      </c>
      <c r="Q15" s="23">
        <f>IFERROR(SUM(E16:P16)/SUM(Model!E26:P26),0)</f>
        <v/>
      </c>
    </row>
    <row r="16">
      <c r="D16" s="89" t="inlineStr">
        <is>
          <t>Scenario Costs</t>
        </is>
      </c>
      <c r="E16" s="138">
        <f>E15*Model!E26</f>
        <v/>
      </c>
      <c r="F16" s="138">
        <f>F15*Model!F26</f>
        <v/>
      </c>
      <c r="G16" s="138">
        <f>G15*Model!G26</f>
        <v/>
      </c>
      <c r="H16" s="138">
        <f>H15*Model!H26</f>
        <v/>
      </c>
      <c r="I16" s="138">
        <f>I15*Model!I26</f>
        <v/>
      </c>
      <c r="J16" s="138">
        <f>J15*Model!J26</f>
        <v/>
      </c>
      <c r="K16" s="138">
        <f>K15*Model!K26</f>
        <v/>
      </c>
      <c r="L16" s="138">
        <f>L15*Model!L26</f>
        <v/>
      </c>
      <c r="M16" s="138">
        <f>M15*Model!M26</f>
        <v/>
      </c>
      <c r="N16" s="138">
        <f>N15*Model!N26</f>
        <v/>
      </c>
      <c r="O16" s="138">
        <f>O15*Model!O26</f>
        <v/>
      </c>
      <c r="P16" s="138">
        <f>P15*Model!P26</f>
        <v/>
      </c>
      <c r="Q16" s="22">
        <f>SUM(E16:P16)</f>
        <v/>
      </c>
    </row>
    <row r="17">
      <c r="D17" s="89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</row>
    <row r="18">
      <c r="D18" s="89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</row>
    <row r="19">
      <c r="A19" s="76" t="inlineStr">
        <is>
          <t>DELTA (Scenario - Baseline)</t>
        </is>
      </c>
      <c r="E19" s="35" t="inlineStr">
        <is>
          <t>Jan</t>
        </is>
      </c>
      <c r="F19" s="35" t="inlineStr">
        <is>
          <t>Feb</t>
        </is>
      </c>
      <c r="G19" s="35" t="inlineStr">
        <is>
          <t>Mar</t>
        </is>
      </c>
      <c r="H19" s="35" t="inlineStr">
        <is>
          <t>Apr</t>
        </is>
      </c>
      <c r="I19" s="35" t="inlineStr">
        <is>
          <t>May</t>
        </is>
      </c>
      <c r="J19" s="35" t="inlineStr">
        <is>
          <t>Jun</t>
        </is>
      </c>
      <c r="K19" s="35" t="inlineStr">
        <is>
          <t>Jul</t>
        </is>
      </c>
      <c r="L19" s="35" t="inlineStr">
        <is>
          <t>Aug</t>
        </is>
      </c>
      <c r="M19" s="35" t="inlineStr">
        <is>
          <t>Sep</t>
        </is>
      </c>
      <c r="N19" s="35" t="inlineStr">
        <is>
          <t>Oct</t>
        </is>
      </c>
      <c r="O19" s="35" t="inlineStr">
        <is>
          <t>Nov</t>
        </is>
      </c>
      <c r="P19" s="35" t="inlineStr">
        <is>
          <t>Dec</t>
        </is>
      </c>
      <c r="Q19" s="76" t="inlineStr">
        <is>
          <t>ANNUAL</t>
        </is>
      </c>
    </row>
    <row r="20">
      <c r="D20" s="81" t="inlineStr">
        <is>
          <t>Δ Coverage</t>
        </is>
      </c>
      <c r="E20" s="36">
        <f>E14-E8</f>
        <v/>
      </c>
      <c r="F20" s="36">
        <f>F14-F8</f>
        <v/>
      </c>
      <c r="G20" s="36">
        <f>G14-G8</f>
        <v/>
      </c>
      <c r="H20" s="36">
        <f>H14-H8</f>
        <v/>
      </c>
      <c r="I20" s="36">
        <f>I14-I8</f>
        <v/>
      </c>
      <c r="J20" s="36">
        <f>J14-J8</f>
        <v/>
      </c>
      <c r="K20" s="36">
        <f>K14-K8</f>
        <v/>
      </c>
      <c r="L20" s="36">
        <f>L14-L8</f>
        <v/>
      </c>
      <c r="M20" s="36">
        <f>M14-M8</f>
        <v/>
      </c>
      <c r="N20" s="36">
        <f>N14-N8</f>
        <v/>
      </c>
      <c r="O20" s="36">
        <f>O14-O8</f>
        <v/>
      </c>
      <c r="P20" s="36">
        <f>P14-P8</f>
        <v/>
      </c>
      <c r="Q20" s="36">
        <f>AVERAGE(E20:P20)</f>
        <v/>
      </c>
    </row>
    <row r="21">
      <c r="D21" s="81" t="inlineStr">
        <is>
          <t>Δ GTN %</t>
        </is>
      </c>
      <c r="E21" s="37">
        <f>E15-E9</f>
        <v/>
      </c>
      <c r="F21" s="37">
        <f>F15-F9</f>
        <v/>
      </c>
      <c r="G21" s="37">
        <f>G15-G9</f>
        <v/>
      </c>
      <c r="H21" s="37">
        <f>H15-H9</f>
        <v/>
      </c>
      <c r="I21" s="37">
        <f>I15-I9</f>
        <v/>
      </c>
      <c r="J21" s="37">
        <f>J15-J9</f>
        <v/>
      </c>
      <c r="K21" s="37">
        <f>K15-K9</f>
        <v/>
      </c>
      <c r="L21" s="37">
        <f>L15-L9</f>
        <v/>
      </c>
      <c r="M21" s="37">
        <f>M15-M9</f>
        <v/>
      </c>
      <c r="N21" s="37">
        <f>N15-N9</f>
        <v/>
      </c>
      <c r="O21" s="37">
        <f>O15-O9</f>
        <v/>
      </c>
      <c r="P21" s="37">
        <f>P15-P9</f>
        <v/>
      </c>
      <c r="Q21" s="37">
        <f>Q15-Q9</f>
        <v/>
      </c>
    </row>
    <row r="22" ht="15.75" customHeight="1" s="74">
      <c r="D22" s="81" t="inlineStr">
        <is>
          <t>Δ Costs ($)</t>
        </is>
      </c>
      <c r="E22" s="38">
        <f>E16-E10</f>
        <v/>
      </c>
      <c r="F22" s="38">
        <f>F16-F10</f>
        <v/>
      </c>
      <c r="G22" s="38">
        <f>G16-G10</f>
        <v/>
      </c>
      <c r="H22" s="38">
        <f>H16-H10</f>
        <v/>
      </c>
      <c r="I22" s="38">
        <f>I16-I10</f>
        <v/>
      </c>
      <c r="J22" s="38">
        <f>J16-J10</f>
        <v/>
      </c>
      <c r="K22" s="38">
        <f>K16-K10</f>
        <v/>
      </c>
      <c r="L22" s="38">
        <f>L16-L10</f>
        <v/>
      </c>
      <c r="M22" s="38">
        <f>M16-M10</f>
        <v/>
      </c>
      <c r="N22" s="38">
        <f>N16-N10</f>
        <v/>
      </c>
      <c r="O22" s="38">
        <f>O16-O10</f>
        <v/>
      </c>
      <c r="P22" s="38">
        <f>P16-P10</f>
        <v/>
      </c>
      <c r="Q22" s="39">
        <f>Q16-Q10</f>
        <v/>
      </c>
    </row>
    <row r="25" ht="15.75" customHeight="1" s="74">
      <c r="A25" s="40" t="inlineStr">
        <is>
          <t>Month</t>
        </is>
      </c>
      <c r="B25" s="40" t="inlineStr">
        <is>
          <t>Baseline GTN</t>
        </is>
      </c>
      <c r="C25" s="40" t="inlineStr">
        <is>
          <t>Scenario GTN</t>
        </is>
      </c>
      <c r="K25" s="75" t="inlineStr">
        <is>
          <t>HOW TO USE</t>
        </is>
      </c>
    </row>
    <row r="26">
      <c r="A26" t="inlineStr">
        <is>
          <t>Jan</t>
        </is>
      </c>
      <c r="B26" s="23">
        <f>E9</f>
        <v/>
      </c>
      <c r="C26" s="23">
        <f>E15</f>
        <v/>
      </c>
      <c r="K26" s="82" t="inlineStr">
        <is>
          <t>1. Edit PURPLE cells (row 14) to set scenario coverage by month</t>
        </is>
      </c>
    </row>
    <row r="27">
      <c r="A27" t="inlineStr">
        <is>
          <t>Feb</t>
        </is>
      </c>
      <c r="B27" s="23">
        <f>F9</f>
        <v/>
      </c>
      <c r="C27" s="23">
        <f>F15</f>
        <v/>
      </c>
      <c r="K27" s="82" t="inlineStr">
        <is>
          <t>2. Watch GTN % and Costs recalculate instantly</t>
        </is>
      </c>
    </row>
    <row r="28">
      <c r="A28" t="inlineStr">
        <is>
          <t>Mar</t>
        </is>
      </c>
      <c r="B28" s="23">
        <f>G9</f>
        <v/>
      </c>
      <c r="C28" s="23">
        <f>G15</f>
        <v/>
      </c>
      <c r="K28" s="82" t="inlineStr">
        <is>
          <t>3. DELTA section shows monthly variance for accruals</t>
        </is>
      </c>
    </row>
    <row r="29">
      <c r="A29" t="inlineStr">
        <is>
          <t>Apr</t>
        </is>
      </c>
      <c r="B29" s="23">
        <f>H9</f>
        <v/>
      </c>
      <c r="C29" s="23">
        <f>H15</f>
        <v/>
      </c>
      <c r="K29" s="82" t="inlineStr">
        <is>
          <t>4. Annual column shows full-year impact</t>
        </is>
      </c>
    </row>
    <row r="30">
      <c r="A30" t="inlineStr">
        <is>
          <t>May</t>
        </is>
      </c>
      <c r="B30" s="23">
        <f>I9</f>
        <v/>
      </c>
      <c r="C30" s="23">
        <f>I15</f>
        <v/>
      </c>
      <c r="K30" s="82" t="inlineStr">
        <is>
          <t>5. Negative Δ Costs = savings from higher coverage</t>
        </is>
      </c>
    </row>
    <row r="31">
      <c r="A31" t="inlineStr">
        <is>
          <t>Jun</t>
        </is>
      </c>
      <c r="B31" s="23">
        <f>J9</f>
        <v/>
      </c>
      <c r="C31" s="23">
        <f>J15</f>
        <v/>
      </c>
    </row>
    <row r="32">
      <c r="A32" t="inlineStr">
        <is>
          <t>Jul</t>
        </is>
      </c>
      <c r="B32" s="23">
        <f>K9</f>
        <v/>
      </c>
      <c r="C32" s="23">
        <f>K15</f>
        <v/>
      </c>
    </row>
    <row r="33">
      <c r="A33" t="inlineStr">
        <is>
          <t>Aug</t>
        </is>
      </c>
      <c r="B33" s="23">
        <f>L9</f>
        <v/>
      </c>
      <c r="C33" s="23">
        <f>L15</f>
        <v/>
      </c>
    </row>
    <row r="34">
      <c r="A34" t="inlineStr">
        <is>
          <t>Sep</t>
        </is>
      </c>
      <c r="B34" s="23">
        <f>M9</f>
        <v/>
      </c>
      <c r="C34" s="23">
        <f>M15</f>
        <v/>
      </c>
    </row>
    <row r="35">
      <c r="A35" t="inlineStr">
        <is>
          <t>Oct</t>
        </is>
      </c>
      <c r="B35" s="23">
        <f>N9</f>
        <v/>
      </c>
      <c r="C35" s="23">
        <f>N15</f>
        <v/>
      </c>
    </row>
    <row r="36">
      <c r="A36" t="inlineStr">
        <is>
          <t>Nov</t>
        </is>
      </c>
      <c r="B36" s="23">
        <f>O9</f>
        <v/>
      </c>
      <c r="C36" s="23">
        <f>O15</f>
        <v/>
      </c>
    </row>
    <row r="37">
      <c r="A37" t="inlineStr">
        <is>
          <t>Dec</t>
        </is>
      </c>
      <c r="B37" s="23">
        <f>P9</f>
        <v/>
      </c>
      <c r="C37" s="23">
        <f>P15</f>
        <v/>
      </c>
    </row>
  </sheetData>
  <mergeCells count="11">
    <mergeCell ref="K30:P30"/>
    <mergeCell ref="K27:P27"/>
    <mergeCell ref="K28:P28"/>
    <mergeCell ref="A4:Q4"/>
    <mergeCell ref="A7:D7"/>
    <mergeCell ref="K26:P26"/>
    <mergeCell ref="A19:D19"/>
    <mergeCell ref="K25:P25"/>
    <mergeCell ref="A5:Q5"/>
    <mergeCell ref="A13:D13"/>
    <mergeCell ref="K29:P2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41"/>
  <sheetViews>
    <sheetView workbookViewId="0">
      <selection activeCell="B3" sqref="B3"/>
    </sheetView>
  </sheetViews>
  <sheetFormatPr baseColWidth="8" defaultRowHeight="15"/>
  <cols>
    <col width="10.28515625" bestFit="1" customWidth="1" style="74" min="2" max="2"/>
    <col width="15.7109375" customWidth="1" style="74" min="3" max="3"/>
    <col width="27.28515625" customWidth="1" style="74" min="4" max="4"/>
    <col width="18.85546875" customWidth="1" style="74" min="5" max="5"/>
    <col width="12.5703125" customWidth="1" style="74" min="6" max="6"/>
    <col width="24.7109375" customWidth="1" style="74" min="7" max="7"/>
  </cols>
  <sheetData>
    <row r="2" ht="30" customHeight="1" s="74">
      <c r="B2" s="64" t="n"/>
      <c r="C2" s="65" t="inlineStr">
        <is>
          <t>Beg of month channel balance</t>
        </is>
      </c>
      <c r="D2" s="65" t="inlineStr">
        <is>
          <t>Total Monthly Script Demand (Forecast)</t>
        </is>
      </c>
      <c r="E2" s="65" t="inlineStr">
        <is>
          <t>End of month channel balance</t>
        </is>
      </c>
      <c r="F2" s="65" t="inlineStr">
        <is>
          <t>MOH Assumption</t>
        </is>
      </c>
      <c r="G2" s="65" t="inlineStr">
        <is>
          <t>Total Monthly exFact Demand (Forecast)</t>
        </is>
      </c>
    </row>
    <row r="3">
      <c r="B3" s="64" t="n">
        <v>46022</v>
      </c>
      <c r="C3" s="72" t="n">
        <v>0</v>
      </c>
      <c r="D3" s="72" t="n">
        <v>0</v>
      </c>
      <c r="E3" s="67">
        <f>+C3-D3+G3</f>
        <v/>
      </c>
      <c r="F3" s="72" t="n">
        <v>0</v>
      </c>
      <c r="G3" s="72" t="n">
        <v>0</v>
      </c>
    </row>
    <row r="4">
      <c r="B4" s="64">
        <f>EOMONTH(B3+1,0)</f>
        <v/>
      </c>
      <c r="C4" s="67">
        <f>E3</f>
        <v/>
      </c>
      <c r="D4" s="72" t="n">
        <v>0</v>
      </c>
      <c r="E4" s="67">
        <f>+G4</f>
        <v/>
      </c>
      <c r="F4" s="68" t="n">
        <v>0</v>
      </c>
      <c r="G4" s="72" t="n">
        <v>474</v>
      </c>
      <c r="J4" s="67" t="n"/>
    </row>
    <row r="5">
      <c r="B5" s="64">
        <f>EOMONTH(B4+1,0)</f>
        <v/>
      </c>
      <c r="C5" s="67">
        <f>+E4</f>
        <v/>
      </c>
      <c r="D5" s="72" t="n">
        <v>130</v>
      </c>
      <c r="E5" s="67">
        <f>+F5*D5</f>
        <v/>
      </c>
      <c r="F5" s="68" t="n">
        <v>2</v>
      </c>
      <c r="G5" s="72">
        <f>+IF(C5-D5&gt;E5,0,E5-C5+D5)</f>
        <v/>
      </c>
    </row>
    <row r="6">
      <c r="B6" s="64">
        <f>EOMONTH(B5+1,0)</f>
        <v/>
      </c>
      <c r="C6" s="67">
        <f>+E5</f>
        <v/>
      </c>
      <c r="D6" s="72" t="n">
        <v>246</v>
      </c>
      <c r="E6" s="67">
        <f>+F6*D6</f>
        <v/>
      </c>
      <c r="F6" s="68" t="n">
        <v>2</v>
      </c>
      <c r="G6" s="72">
        <f>+IF(C6-D6&gt;E6,0,E6-C6+D6)</f>
        <v/>
      </c>
      <c r="H6" s="68" t="n"/>
    </row>
    <row r="7">
      <c r="B7" s="64">
        <f>EOMONTH(B6+1,0)</f>
        <v/>
      </c>
      <c r="C7" s="67">
        <f>+E6</f>
        <v/>
      </c>
      <c r="D7" s="72" t="n">
        <v>445</v>
      </c>
      <c r="E7" s="67">
        <f>+F7*D7</f>
        <v/>
      </c>
      <c r="F7" s="68" t="n">
        <v>2</v>
      </c>
      <c r="G7" s="72">
        <f>+IF(C7-D7&gt;E7,0,E7-C7+D7)</f>
        <v/>
      </c>
      <c r="H7" s="68" t="n"/>
    </row>
    <row r="8">
      <c r="B8" s="64">
        <f>EOMONTH(B7+1,0)</f>
        <v/>
      </c>
      <c r="C8" s="67">
        <f>+E7</f>
        <v/>
      </c>
      <c r="D8" s="72" t="n">
        <v>827</v>
      </c>
      <c r="E8" s="67">
        <f>+F8*D8</f>
        <v/>
      </c>
      <c r="F8" s="68" t="n">
        <v>2</v>
      </c>
      <c r="G8" s="72">
        <f>+IF(C8-D8&gt;E8,0,E8-C8+D8)</f>
        <v/>
      </c>
      <c r="H8" s="68" t="n"/>
    </row>
    <row r="9">
      <c r="B9" s="64">
        <f>EOMONTH(B8+1,0)</f>
        <v/>
      </c>
      <c r="C9" s="67">
        <f>+E8</f>
        <v/>
      </c>
      <c r="D9" s="72" t="n">
        <v>1273</v>
      </c>
      <c r="E9" s="67">
        <f>+F9*D9</f>
        <v/>
      </c>
      <c r="F9" s="68" t="n">
        <v>1.75</v>
      </c>
      <c r="G9" s="72">
        <f>+IF(C9-D9&gt;E9,0,E9-C9+D9)</f>
        <v/>
      </c>
      <c r="H9" s="68" t="n"/>
    </row>
    <row r="10">
      <c r="B10" s="64">
        <f>EOMONTH(B9+1,0)</f>
        <v/>
      </c>
      <c r="C10" s="67">
        <f>+E9</f>
        <v/>
      </c>
      <c r="D10" s="72" t="n">
        <v>2290</v>
      </c>
      <c r="E10" s="67">
        <f>+F10*D10</f>
        <v/>
      </c>
      <c r="F10" s="68" t="n">
        <v>1.75</v>
      </c>
      <c r="G10" s="72">
        <f>+IF(C10-D10&gt;E10,0,E10-C10+D10)</f>
        <v/>
      </c>
      <c r="H10" s="68" t="n"/>
    </row>
    <row r="11">
      <c r="B11" s="64">
        <f>EOMONTH(B10+1,0)</f>
        <v/>
      </c>
      <c r="C11" s="67">
        <f>+E10</f>
        <v/>
      </c>
      <c r="D11" s="72" t="n">
        <v>3028</v>
      </c>
      <c r="E11" s="67">
        <f>+F11*D11</f>
        <v/>
      </c>
      <c r="F11" s="68" t="n">
        <v>1.5</v>
      </c>
      <c r="G11" s="72">
        <f>+IF(C11-D11&gt;E11,0,E11-C11+D11)</f>
        <v/>
      </c>
      <c r="H11" s="68" t="n"/>
    </row>
    <row r="12">
      <c r="B12" s="64">
        <f>EOMONTH(B11+1,0)</f>
        <v/>
      </c>
      <c r="C12" s="67">
        <f>+E11</f>
        <v/>
      </c>
      <c r="D12" s="72" t="n">
        <v>3919</v>
      </c>
      <c r="E12" s="67">
        <f>+F12*D12</f>
        <v/>
      </c>
      <c r="F12" s="68" t="n">
        <v>1.5</v>
      </c>
      <c r="G12" s="72">
        <f>+IF(C12-D12&gt;E12,0,E12-C12+D12)</f>
        <v/>
      </c>
      <c r="H12" s="68" t="n"/>
    </row>
    <row r="13">
      <c r="B13" s="64">
        <f>EOMONTH(B12+1,0)</f>
        <v/>
      </c>
      <c r="C13" s="67">
        <f>+E12</f>
        <v/>
      </c>
      <c r="D13" s="72" t="n">
        <v>4772</v>
      </c>
      <c r="E13" s="67">
        <f>+F13*D13</f>
        <v/>
      </c>
      <c r="F13" s="68" t="n">
        <v>1.25</v>
      </c>
      <c r="G13" s="72">
        <f>+IF(C13-D13&gt;E13,0,E13-C13+D13)</f>
        <v/>
      </c>
      <c r="H13" s="68" t="n"/>
    </row>
    <row r="14">
      <c r="B14" s="64">
        <f>EOMONTH(B13+1,0)</f>
        <v/>
      </c>
      <c r="C14" s="67">
        <f>+E13</f>
        <v/>
      </c>
      <c r="D14" s="72" t="n">
        <v>5745</v>
      </c>
      <c r="E14" s="67">
        <f>+F14*D14</f>
        <v/>
      </c>
      <c r="F14" s="68" t="n">
        <v>1.25</v>
      </c>
      <c r="G14" s="72">
        <f>+IF(C14-D14&gt;E14,0,E14-C14+D14)</f>
        <v/>
      </c>
      <c r="H14" s="68" t="n"/>
    </row>
    <row r="15">
      <c r="B15" s="64">
        <f>EOMONTH(B14+1,0)</f>
        <v/>
      </c>
      <c r="C15" s="67">
        <f>+E14</f>
        <v/>
      </c>
      <c r="D15" s="72" t="n">
        <v>6813</v>
      </c>
      <c r="E15" s="67">
        <f>+F15*D15</f>
        <v/>
      </c>
      <c r="F15" s="68" t="n">
        <v>1</v>
      </c>
      <c r="G15" s="72">
        <f>+IF(C15-D15&gt;E15,0,E15-C15+D15)</f>
        <v/>
      </c>
      <c r="H15" s="68" t="n"/>
    </row>
    <row r="16">
      <c r="B16" s="64">
        <f>EOMONTH(B15+1,0)</f>
        <v/>
      </c>
      <c r="C16" s="67">
        <f>+E15</f>
        <v/>
      </c>
      <c r="D16" s="67" t="n">
        <v>8673</v>
      </c>
      <c r="E16" s="67">
        <f>+F16*D16</f>
        <v/>
      </c>
      <c r="F16" s="68" t="n">
        <v>1</v>
      </c>
      <c r="G16" s="72">
        <f>+IF(C16-D16&gt;E16,0,E16-C16+D16)</f>
        <v/>
      </c>
      <c r="H16" s="68" t="n"/>
    </row>
    <row r="17">
      <c r="B17" s="70" t="n"/>
      <c r="C17" s="67" t="n"/>
      <c r="D17" s="86" t="n"/>
      <c r="E17" s="67" t="n"/>
      <c r="F17" s="68" t="n"/>
      <c r="G17" s="72" t="n"/>
      <c r="H17" s="68" t="n"/>
    </row>
    <row r="18">
      <c r="B18" s="70" t="n"/>
      <c r="C18" s="67" t="n"/>
      <c r="D18" s="86" t="n"/>
      <c r="E18" s="67" t="n"/>
      <c r="F18" s="68" t="n"/>
      <c r="G18" s="72" t="n"/>
      <c r="H18" s="68" t="n"/>
    </row>
    <row r="19">
      <c r="B19" s="70" t="n"/>
      <c r="C19" s="67" t="n"/>
      <c r="D19" s="86" t="n"/>
      <c r="E19" s="67" t="n"/>
      <c r="F19" s="68" t="n"/>
      <c r="G19" s="72" t="n"/>
      <c r="H19" s="68" t="n"/>
    </row>
    <row r="20">
      <c r="B20" s="70" t="n"/>
      <c r="C20" s="67" t="n"/>
      <c r="D20" s="86" t="n"/>
      <c r="E20" s="67" t="n"/>
      <c r="F20" s="68" t="n"/>
      <c r="G20" s="72" t="n"/>
      <c r="H20" s="68" t="n"/>
    </row>
    <row r="21">
      <c r="B21" s="70" t="n"/>
      <c r="C21" s="67" t="n"/>
      <c r="D21" s="86" t="n"/>
      <c r="E21" s="67" t="n"/>
      <c r="F21" s="68" t="n"/>
      <c r="G21" s="72" t="n"/>
      <c r="H21" s="68" t="n"/>
    </row>
    <row r="22">
      <c r="B22" s="70" t="n"/>
      <c r="C22" s="67" t="n"/>
      <c r="D22" s="86" t="n"/>
      <c r="E22" s="67" t="n"/>
      <c r="F22" s="68" t="n"/>
      <c r="G22" s="72" t="n"/>
      <c r="H22" s="68" t="n"/>
    </row>
    <row r="23">
      <c r="B23" s="70" t="n"/>
      <c r="C23" s="67" t="n"/>
      <c r="D23" s="86" t="n"/>
      <c r="E23" s="67" t="n"/>
      <c r="F23" s="68" t="n"/>
      <c r="G23" s="72" t="n"/>
      <c r="H23" s="68" t="n"/>
    </row>
    <row r="24">
      <c r="B24" s="70" t="n"/>
      <c r="C24" s="67" t="n"/>
      <c r="D24" s="86" t="n"/>
      <c r="E24" s="67" t="n"/>
      <c r="F24" s="68" t="n"/>
      <c r="G24" s="72" t="n"/>
      <c r="H24" s="68" t="n"/>
    </row>
    <row r="25">
      <c r="B25" s="70" t="n"/>
      <c r="C25" s="67" t="n"/>
      <c r="D25" s="86" t="n"/>
      <c r="E25" s="67" t="n"/>
      <c r="F25" s="68" t="n"/>
      <c r="G25" s="72" t="n"/>
      <c r="H25" s="68" t="n"/>
    </row>
    <row r="26">
      <c r="B26" s="70" t="n"/>
      <c r="C26" s="67" t="n"/>
      <c r="D26" s="86" t="n"/>
      <c r="E26" s="67" t="n"/>
      <c r="F26" s="68" t="n"/>
      <c r="G26" s="72" t="n"/>
      <c r="H26" s="68" t="n"/>
    </row>
    <row r="27">
      <c r="B27" s="70" t="n"/>
      <c r="C27" s="67" t="n"/>
      <c r="D27" s="86" t="n"/>
      <c r="E27" s="67" t="n"/>
      <c r="F27" s="68" t="n"/>
      <c r="G27" s="72" t="n"/>
      <c r="H27" s="68" t="n"/>
    </row>
    <row r="28">
      <c r="B28" s="70" t="n"/>
      <c r="C28" s="67" t="n"/>
      <c r="D28" s="86" t="n"/>
      <c r="E28" s="67" t="n"/>
      <c r="F28" s="68" t="n"/>
      <c r="G28" s="72" t="n"/>
      <c r="H28" s="68" t="n"/>
    </row>
    <row r="29">
      <c r="B29" s="70" t="n"/>
      <c r="C29" s="67" t="n"/>
      <c r="D29" s="86" t="n"/>
      <c r="E29" s="67" t="n"/>
      <c r="F29" s="68" t="n"/>
      <c r="G29" s="72" t="n"/>
      <c r="H29" s="68" t="n"/>
    </row>
    <row r="30">
      <c r="C30" s="67" t="n"/>
      <c r="D30" s="86" t="n"/>
      <c r="E30" s="67" t="n"/>
      <c r="F30" s="68" t="n"/>
      <c r="G30" s="72" t="n"/>
      <c r="H30" s="68" t="n"/>
    </row>
    <row r="31">
      <c r="C31" s="67" t="n"/>
      <c r="D31" s="86" t="n"/>
      <c r="E31" s="67" t="n"/>
      <c r="F31" s="68" t="n"/>
      <c r="G31" s="72" t="n"/>
      <c r="H31" s="68" t="n"/>
    </row>
    <row r="32">
      <c r="C32" s="67" t="n"/>
      <c r="D32" s="86" t="n"/>
      <c r="E32" s="67" t="n"/>
      <c r="F32" s="68" t="n"/>
      <c r="G32" s="72" t="n"/>
      <c r="H32" s="68" t="n"/>
    </row>
    <row r="33">
      <c r="C33" s="67" t="n"/>
      <c r="D33" s="86" t="n"/>
      <c r="E33" s="67" t="n"/>
      <c r="F33" s="68" t="n"/>
      <c r="G33" s="72" t="n"/>
      <c r="H33" s="68" t="n"/>
    </row>
    <row r="34">
      <c r="C34" s="67" t="n"/>
      <c r="D34" s="86" t="n"/>
      <c r="E34" s="67" t="n"/>
      <c r="F34" s="68" t="n"/>
      <c r="G34" s="72" t="n"/>
      <c r="H34" s="68" t="n"/>
    </row>
    <row r="35">
      <c r="C35" s="67" t="n"/>
      <c r="D35" s="86" t="n"/>
      <c r="E35" s="67" t="n"/>
      <c r="F35" s="68" t="n"/>
      <c r="G35" s="72" t="n"/>
      <c r="H35" s="68" t="n"/>
    </row>
    <row r="36">
      <c r="C36" s="67" t="n"/>
      <c r="D36" s="86" t="n"/>
      <c r="E36" s="67" t="n"/>
      <c r="F36" s="68" t="n"/>
      <c r="G36" s="72" t="n"/>
      <c r="H36" s="68" t="n"/>
    </row>
    <row r="37">
      <c r="C37" s="67" t="n"/>
      <c r="D37" s="86" t="n"/>
      <c r="E37" s="67" t="n"/>
      <c r="F37" s="68" t="n"/>
      <c r="G37" s="72" t="n"/>
      <c r="H37" s="68" t="n"/>
    </row>
    <row r="38">
      <c r="C38" s="67" t="n"/>
      <c r="D38" s="86" t="n"/>
      <c r="E38" s="67" t="n"/>
      <c r="F38" s="68" t="n"/>
      <c r="G38" s="72" t="n"/>
      <c r="H38" s="68" t="n"/>
    </row>
    <row r="39">
      <c r="C39" s="67" t="n"/>
      <c r="D39" s="86" t="n"/>
      <c r="E39" s="67" t="n"/>
      <c r="F39" s="68" t="n"/>
      <c r="G39" s="72" t="n"/>
      <c r="H39" s="68" t="n"/>
    </row>
    <row r="40">
      <c r="C40" s="67" t="n"/>
      <c r="D40" s="86" t="n"/>
      <c r="E40" s="67" t="n"/>
      <c r="F40" s="68" t="n"/>
      <c r="G40" s="72" t="n"/>
      <c r="H40" s="68" t="n"/>
    </row>
    <row r="41">
      <c r="C41" s="67" t="n"/>
      <c r="D41" s="86" t="n"/>
      <c r="E41" s="67" t="n"/>
      <c r="F41" s="68" t="n"/>
      <c r="G41" s="72" t="n"/>
      <c r="H41" s="6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O26"/>
  <sheetViews>
    <sheetView topLeftCell="A15" zoomScale="110" zoomScaleNormal="110" workbookViewId="0">
      <selection activeCell="B27" sqref="B27"/>
    </sheetView>
  </sheetViews>
  <sheetFormatPr baseColWidth="8" defaultRowHeight="15"/>
  <cols>
    <col width="10.140625" bestFit="1" customWidth="1" style="74" min="1" max="1"/>
    <col width="38.42578125" bestFit="1" customWidth="1" style="74" min="2" max="2"/>
    <col width="9.42578125" bestFit="1" customWidth="1" style="74" min="3" max="7"/>
    <col width="9.5703125" bestFit="1" customWidth="1" style="74" min="8" max="8"/>
    <col width="9.7109375" bestFit="1" customWidth="1" style="74" min="9" max="14"/>
    <col width="10.7109375" bestFit="1" customWidth="1" style="74" min="15" max="15"/>
  </cols>
  <sheetData>
    <row r="4" ht="23.25" customHeight="1" s="74">
      <c r="A4" s="84" t="inlineStr">
        <is>
          <t>Demand Scenarios</t>
        </is>
      </c>
    </row>
    <row r="7" ht="15.75" customHeight="1" s="74">
      <c r="C7" s="80" t="inlineStr">
        <is>
          <t>Jan</t>
        </is>
      </c>
      <c r="D7" s="80" t="inlineStr">
        <is>
          <t>Feb</t>
        </is>
      </c>
      <c r="E7" s="80" t="inlineStr">
        <is>
          <t>Mar</t>
        </is>
      </c>
      <c r="F7" s="80" t="inlineStr">
        <is>
          <t>Apr</t>
        </is>
      </c>
      <c r="G7" s="80" t="inlineStr">
        <is>
          <t>May</t>
        </is>
      </c>
      <c r="H7" s="80" t="inlineStr">
        <is>
          <t>Jun</t>
        </is>
      </c>
      <c r="I7" s="80" t="inlineStr">
        <is>
          <t>Jul</t>
        </is>
      </c>
      <c r="J7" s="80" t="inlineStr">
        <is>
          <t>Aug</t>
        </is>
      </c>
      <c r="K7" s="80" t="inlineStr">
        <is>
          <t>Sep</t>
        </is>
      </c>
      <c r="L7" s="80" t="inlineStr">
        <is>
          <t>Oct</t>
        </is>
      </c>
      <c r="M7" s="80" t="inlineStr">
        <is>
          <t>Nov</t>
        </is>
      </c>
      <c r="N7" s="80" t="inlineStr">
        <is>
          <t>Dec</t>
        </is>
      </c>
      <c r="O7" s="80" t="inlineStr">
        <is>
          <t>Total</t>
        </is>
      </c>
    </row>
    <row r="8" ht="15.75" customHeight="1" s="74">
      <c r="A8" t="n">
        <v>1</v>
      </c>
      <c r="B8" s="78" t="inlineStr">
        <is>
          <t xml:space="preserve">Original Base Model </t>
        </is>
      </c>
    </row>
    <row r="9">
      <c r="B9" s="86" t="inlineStr">
        <is>
          <t>Total Commercial</t>
        </is>
      </c>
      <c r="C9" s="86">
        <f>+SUM(C10:C11)</f>
        <v/>
      </c>
      <c r="D9" s="86">
        <f>+SUM(D10:D11)</f>
        <v/>
      </c>
      <c r="E9" s="86">
        <f>+SUM(E10:E11)</f>
        <v/>
      </c>
      <c r="F9" s="86">
        <f>+SUM(F10:F11)</f>
        <v/>
      </c>
      <c r="G9" s="86">
        <f>+SUM(G10:G11)</f>
        <v/>
      </c>
      <c r="H9" s="86">
        <f>+SUM(H10:H11)</f>
        <v/>
      </c>
      <c r="I9" s="86">
        <f>+SUM(I10:I11)</f>
        <v/>
      </c>
      <c r="J9" s="86">
        <f>+SUM(J10:J11)</f>
        <v/>
      </c>
      <c r="K9" s="86">
        <f>+SUM(K10:K11)</f>
        <v/>
      </c>
      <c r="L9" s="86">
        <f>+SUM(L10:L11)</f>
        <v/>
      </c>
      <c r="M9" s="86">
        <f>+SUM(M10:M11)</f>
        <v/>
      </c>
      <c r="N9" s="86">
        <f>+SUM(N10:N11)</f>
        <v/>
      </c>
      <c r="O9" s="86">
        <f>+SUM(C9:N9)</f>
        <v/>
      </c>
    </row>
    <row r="10">
      <c r="B10" s="86" t="inlineStr">
        <is>
          <t>TRx Forecast (Covered Commercial)</t>
        </is>
      </c>
      <c r="C10" s="86" t="n">
        <v>0</v>
      </c>
      <c r="D10" s="86" t="n">
        <v>50.23</v>
      </c>
      <c r="E10" s="86" t="n">
        <v>83.78</v>
      </c>
      <c r="F10" s="86" t="n">
        <v>131.82</v>
      </c>
      <c r="G10" s="86" t="n">
        <v>300.71</v>
      </c>
      <c r="H10" s="86" t="n">
        <v>667.02</v>
      </c>
      <c r="I10" s="86" t="n">
        <v>1151.06</v>
      </c>
      <c r="J10" s="86" t="n">
        <v>1505.31</v>
      </c>
      <c r="K10" s="86" t="n">
        <v>1940.22</v>
      </c>
      <c r="L10" s="86" t="n">
        <v>2448.98</v>
      </c>
      <c r="M10" s="86" t="n">
        <v>2812.1</v>
      </c>
      <c r="N10" s="86" t="n">
        <v>3322.67</v>
      </c>
      <c r="O10" s="86">
        <f>+SUM(C10:N10)</f>
        <v/>
      </c>
    </row>
    <row r="11">
      <c r="B11" s="86" t="inlineStr">
        <is>
          <t>TRx Forecast (Not Covered Commercial)</t>
        </is>
      </c>
      <c r="C11" s="86" t="n">
        <v>0</v>
      </c>
      <c r="D11" s="86" t="n">
        <v>64.58</v>
      </c>
      <c r="E11" s="86" t="n">
        <v>104</v>
      </c>
      <c r="F11" s="86" t="n">
        <v>158.18</v>
      </c>
      <c r="G11" s="86" t="n">
        <v>199.99</v>
      </c>
      <c r="H11" s="86" t="n">
        <v>192.77</v>
      </c>
      <c r="I11" s="86" t="n">
        <v>194.47</v>
      </c>
      <c r="J11" s="86" t="n">
        <v>249.11</v>
      </c>
      <c r="K11" s="86" t="n">
        <v>350.07</v>
      </c>
      <c r="L11" s="86" t="n">
        <v>191</v>
      </c>
      <c r="M11" s="86" t="n">
        <v>281.41</v>
      </c>
      <c r="N11" s="86" t="n">
        <v>359.88</v>
      </c>
      <c r="O11" s="86">
        <f>+SUM(C11:N11)</f>
        <v/>
      </c>
    </row>
    <row r="12">
      <c r="B12" s="86" t="n"/>
      <c r="C12" s="86" t="n"/>
      <c r="D12" s="86" t="n"/>
      <c r="E12" s="86" t="n"/>
      <c r="F12" s="86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</row>
    <row r="13" ht="15.75" customHeight="1" s="74">
      <c r="A13" t="n">
        <v>2</v>
      </c>
      <c r="B13" s="85" t="inlineStr">
        <is>
          <t>BOD Demand (November 2025 Meeting)</t>
        </is>
      </c>
      <c r="F13" s="86" t="n"/>
      <c r="G13" s="86" t="n"/>
      <c r="H13" s="86" t="n"/>
      <c r="I13" s="86" t="n"/>
      <c r="J13" s="86" t="n"/>
      <c r="K13" s="86" t="n"/>
      <c r="L13" s="86" t="n"/>
      <c r="M13" s="86" t="n"/>
      <c r="N13" s="86" t="n"/>
      <c r="O13" s="86" t="n"/>
    </row>
    <row r="14">
      <c r="A14" s="62" t="n"/>
      <c r="B14" s="86" t="inlineStr">
        <is>
          <t xml:space="preserve">Total Script Demand </t>
        </is>
      </c>
      <c r="C14" s="86" t="n">
        <v>0</v>
      </c>
      <c r="D14" s="86" t="n">
        <v>130</v>
      </c>
      <c r="E14" s="86" t="n">
        <v>246</v>
      </c>
      <c r="F14" s="86" t="n">
        <v>445</v>
      </c>
      <c r="G14" s="86" t="n">
        <v>827</v>
      </c>
      <c r="H14" s="86" t="n">
        <v>1273</v>
      </c>
      <c r="I14" s="86" t="n">
        <v>2290</v>
      </c>
      <c r="J14" s="86" t="n">
        <v>3028</v>
      </c>
      <c r="K14" s="86" t="n">
        <v>3919</v>
      </c>
      <c r="L14" s="86" t="n">
        <v>4772</v>
      </c>
      <c r="M14" s="86" t="n">
        <v>5745</v>
      </c>
      <c r="N14" s="86" t="n">
        <v>6813</v>
      </c>
      <c r="O14" s="86">
        <f>+SUM(C14:N14)</f>
        <v/>
      </c>
    </row>
    <row r="15">
      <c r="A15" s="62" t="n"/>
      <c r="B15" s="86" t="inlineStr">
        <is>
          <t>Total Commercial (%)</t>
        </is>
      </c>
      <c r="C15" s="63">
        <f>+Assumptions!C50</f>
        <v/>
      </c>
      <c r="D15" s="63">
        <f>+Assumptions!C51</f>
        <v/>
      </c>
      <c r="E15" s="63">
        <f>+Assumptions!C52</f>
        <v/>
      </c>
      <c r="F15" s="63">
        <f>+Assumptions!C53</f>
        <v/>
      </c>
      <c r="G15" s="63">
        <f>+Assumptions!C54</f>
        <v/>
      </c>
      <c r="H15" s="63">
        <f>+Assumptions!C55</f>
        <v/>
      </c>
      <c r="I15" s="63">
        <f>+Assumptions!C56</f>
        <v/>
      </c>
      <c r="J15" s="63">
        <f>+Assumptions!C57</f>
        <v/>
      </c>
      <c r="K15" s="63">
        <f>+Assumptions!C58</f>
        <v/>
      </c>
      <c r="L15" s="63">
        <f>+Assumptions!C59</f>
        <v/>
      </c>
      <c r="M15" s="63">
        <f>+Assumptions!C60</f>
        <v/>
      </c>
      <c r="N15" s="63">
        <f>+Assumptions!C61</f>
        <v/>
      </c>
      <c r="O15" s="86" t="n"/>
    </row>
    <row r="16">
      <c r="A16" s="62" t="n"/>
      <c r="B16" s="86" t="inlineStr">
        <is>
          <t>Total Commercial</t>
        </is>
      </c>
      <c r="C16" s="86">
        <f>+C14*C15</f>
        <v/>
      </c>
      <c r="D16" s="86">
        <f>+D14*D15</f>
        <v/>
      </c>
      <c r="E16" s="86">
        <f>+E14*E15</f>
        <v/>
      </c>
      <c r="F16" s="86">
        <f>+F14*F15</f>
        <v/>
      </c>
      <c r="G16" s="86">
        <f>+G14*G15</f>
        <v/>
      </c>
      <c r="H16" s="86">
        <f>+H14*H15</f>
        <v/>
      </c>
      <c r="I16" s="86">
        <f>+I14*I15</f>
        <v/>
      </c>
      <c r="J16" s="86">
        <f>+J14*J15</f>
        <v/>
      </c>
      <c r="K16" s="86">
        <f>+K14*K15</f>
        <v/>
      </c>
      <c r="L16" s="86">
        <f>+L14*L15</f>
        <v/>
      </c>
      <c r="M16" s="86">
        <f>+M14*M15</f>
        <v/>
      </c>
      <c r="N16" s="86">
        <f>+N14*N15</f>
        <v/>
      </c>
      <c r="O16" s="86">
        <f>+SUM(C16:N16)</f>
        <v/>
      </c>
    </row>
    <row r="17">
      <c r="A17" s="62" t="n"/>
      <c r="B17" s="86" t="inlineStr">
        <is>
          <t>TRx Forecast (Covered Commercial %)</t>
        </is>
      </c>
      <c r="C17" s="63">
        <f>+Assumptions!C22</f>
        <v/>
      </c>
      <c r="D17" s="63">
        <f>+Assumptions!C23</f>
        <v/>
      </c>
      <c r="E17" s="63">
        <f>+Assumptions!C24</f>
        <v/>
      </c>
      <c r="F17" s="63">
        <f>+Assumptions!C25</f>
        <v/>
      </c>
      <c r="G17" s="63">
        <f>+Assumptions!C26</f>
        <v/>
      </c>
      <c r="H17" s="63">
        <f>+Assumptions!C27</f>
        <v/>
      </c>
      <c r="I17" s="63">
        <f>+Assumptions!C28</f>
        <v/>
      </c>
      <c r="J17" s="63">
        <f>+Assumptions!C29</f>
        <v/>
      </c>
      <c r="K17" s="63">
        <f>+Assumptions!C30</f>
        <v/>
      </c>
      <c r="L17" s="63">
        <f>+Assumptions!C31</f>
        <v/>
      </c>
      <c r="M17" s="63">
        <f>+Assumptions!C32</f>
        <v/>
      </c>
      <c r="N17" s="63">
        <f>+Assumptions!C33</f>
        <v/>
      </c>
      <c r="O17" s="86" t="n"/>
    </row>
    <row r="18">
      <c r="B18" s="86" t="inlineStr">
        <is>
          <t>TRx Forecast (Covered Commercial)</t>
        </is>
      </c>
      <c r="C18" s="86">
        <f>+C16*C17</f>
        <v/>
      </c>
      <c r="D18" s="86">
        <f>+D16*D17</f>
        <v/>
      </c>
      <c r="E18" s="86">
        <f>+E16*E17</f>
        <v/>
      </c>
      <c r="F18" s="86">
        <f>+F16*F17</f>
        <v/>
      </c>
      <c r="G18" s="86">
        <f>+G16*G17</f>
        <v/>
      </c>
      <c r="H18" s="86">
        <f>+H16*H17</f>
        <v/>
      </c>
      <c r="I18" s="86">
        <f>+I16*I17</f>
        <v/>
      </c>
      <c r="J18" s="86">
        <f>+J16*J17</f>
        <v/>
      </c>
      <c r="K18" s="86">
        <f>+K16*K17</f>
        <v/>
      </c>
      <c r="L18" s="86">
        <f>+L16*L17</f>
        <v/>
      </c>
      <c r="M18" s="86">
        <f>+M16*M17</f>
        <v/>
      </c>
      <c r="N18" s="86">
        <f>+N16*N17</f>
        <v/>
      </c>
      <c r="O18" s="86">
        <f>+SUM(C18:N18)</f>
        <v/>
      </c>
    </row>
    <row r="19">
      <c r="B19" s="86" t="inlineStr">
        <is>
          <t>TRx Forecast (Not Covered Commercial)</t>
        </is>
      </c>
      <c r="C19" s="86">
        <f>+C16-C18</f>
        <v/>
      </c>
      <c r="D19" s="86">
        <f>+D16-D18</f>
        <v/>
      </c>
      <c r="E19" s="86">
        <f>+E16-E18</f>
        <v/>
      </c>
      <c r="F19" s="86">
        <f>+F16-F18</f>
        <v/>
      </c>
      <c r="G19" s="86">
        <f>+G16-G18</f>
        <v/>
      </c>
      <c r="H19" s="86">
        <f>+H16-H18</f>
        <v/>
      </c>
      <c r="I19" s="86">
        <f>+I16-I18</f>
        <v/>
      </c>
      <c r="J19" s="86">
        <f>+J16-J18</f>
        <v/>
      </c>
      <c r="K19" s="86">
        <f>+K16-K18</f>
        <v/>
      </c>
      <c r="L19" s="86">
        <f>+L16-L18</f>
        <v/>
      </c>
      <c r="M19" s="86">
        <f>+M16-M18</f>
        <v/>
      </c>
      <c r="N19" s="86">
        <f>+N16-N18</f>
        <v/>
      </c>
      <c r="O19" s="86">
        <f>+SUM(C19:N19)</f>
        <v/>
      </c>
    </row>
    <row r="24" ht="23.25" customHeight="1" s="74">
      <c r="A24" s="84" t="inlineStr">
        <is>
          <t>Ex-Factory Demand Scenarios</t>
        </is>
      </c>
    </row>
    <row r="25" ht="15.75" customHeight="1" s="74">
      <c r="C25" s="80" t="inlineStr">
        <is>
          <t>Jan</t>
        </is>
      </c>
      <c r="D25" s="80" t="inlineStr">
        <is>
          <t>Feb</t>
        </is>
      </c>
      <c r="E25" s="80" t="inlineStr">
        <is>
          <t>Mar</t>
        </is>
      </c>
      <c r="F25" s="80" t="inlineStr">
        <is>
          <t>Apr</t>
        </is>
      </c>
      <c r="G25" s="80" t="inlineStr">
        <is>
          <t>May</t>
        </is>
      </c>
      <c r="H25" s="80" t="inlineStr">
        <is>
          <t>Jun</t>
        </is>
      </c>
      <c r="I25" s="80" t="inlineStr">
        <is>
          <t>Jul</t>
        </is>
      </c>
      <c r="J25" s="80" t="inlineStr">
        <is>
          <t>Aug</t>
        </is>
      </c>
      <c r="K25" s="80" t="inlineStr">
        <is>
          <t>Sep</t>
        </is>
      </c>
      <c r="L25" s="80" t="inlineStr">
        <is>
          <t>Oct</t>
        </is>
      </c>
      <c r="M25" s="80" t="inlineStr">
        <is>
          <t>Nov</t>
        </is>
      </c>
      <c r="N25" s="80" t="inlineStr">
        <is>
          <t>Dec</t>
        </is>
      </c>
      <c r="O25" s="80" t="inlineStr">
        <is>
          <t>Total</t>
        </is>
      </c>
    </row>
    <row r="26">
      <c r="B26" t="inlineStr">
        <is>
          <t>Beginning of Month Channel Balance</t>
        </is>
      </c>
    </row>
  </sheetData>
  <mergeCells count="4">
    <mergeCell ref="A24:F24"/>
    <mergeCell ref="B13:E13"/>
    <mergeCell ref="B8:E8"/>
    <mergeCell ref="A4:F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2026-01-26T01:06:36Z</dcterms:created>
  <dcterms:modified xmlns:dcterms="http://purl.org/dc/terms/" xmlns:xsi="http://www.w3.org/2001/XMLSchema-instance" xsi:type="dcterms:W3CDTF">2026-01-27T23:00:43Z</dcterms:modified>
  <cp:lastModifiedBy>Matt Jones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0x0101006DEFBF632A60FD4AA8BFC74D22A952B4</vt:lpwstr>
  </property>
</Properties>
</file>