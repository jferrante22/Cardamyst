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\Desktop\Cardamyst\"/>
    </mc:Choice>
  </mc:AlternateContent>
  <bookViews>
    <workbookView xWindow="0" yWindow="0" windowWidth="28800" windowHeight="12210"/>
  </bookViews>
  <sheets>
    <sheet name="Affordability Detailed Model" sheetId="1" r:id="rId1"/>
  </sheets>
  <externalReferences>
    <externalReference r:id="rId2"/>
  </externalReferences>
  <definedNames>
    <definedName name="________WC1" hidden="1">#REF!</definedName>
    <definedName name="________WC2" hidden="1">#REF!</definedName>
    <definedName name="_______GWL2" localSheetId="0" hidden="1">{#N/A,#N/A,FALSE,"Performance_Products_Sold"}</definedName>
    <definedName name="_______GWL2" hidden="1">{#N/A,#N/A,FALSE,"Performance_Products_Sold"}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WC1" hidden="1">#REF!</definedName>
    <definedName name="_______WC2" hidden="1">#REF!</definedName>
    <definedName name="______WC1" hidden="1">#REF!</definedName>
    <definedName name="______WC2" hidden="1">#REF!</definedName>
    <definedName name="_____GWL2" localSheetId="0" hidden="1">{#N/A,#N/A,FALSE,"Performance_Products_Sold"}</definedName>
    <definedName name="_____GWL2" hidden="1">{#N/A,#N/A,FALSE,"Performance_Products_Sold"}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WC1" hidden="1">#REF!</definedName>
    <definedName name="_____WC2" hidden="1">#REF!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WC1" hidden="1">#REF!</definedName>
    <definedName name="____WC2" hidden="1">#REF!</definedName>
    <definedName name="___GWL2" localSheetId="0" hidden="1">{#N/A,#N/A,FALSE,"Performance_Products_Sold"}</definedName>
    <definedName name="___GWL2" hidden="1">{#N/A,#N/A,FALSE,"Performance_Products_Sold"}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WC1" hidden="1">#REF!</definedName>
    <definedName name="___WC2" hidden="1">#REF!</definedName>
    <definedName name="__123Graph_A" localSheetId="0" hidden="1">#REF!</definedName>
    <definedName name="__123Graph_A" hidden="1">#REF!</definedName>
    <definedName name="__123Graph_ACURRENT" hidden="1">#REF!</definedName>
    <definedName name="__123Graph_AGRPH_EXPIRE" hidden="1">#REF!</definedName>
    <definedName name="__123Graph_ALRN" hidden="1">#REF!</definedName>
    <definedName name="__123Graph_ALRNRATE" hidden="1">#REF!</definedName>
    <definedName name="__123Graph_APROD_MARG" hidden="1">#REF!</definedName>
    <definedName name="__123Graph_B" localSheetId="0" hidden="1">#REF!</definedName>
    <definedName name="__123Graph_B" hidden="1">#REF!</definedName>
    <definedName name="__123Graph_BLRN" hidden="1">#REF!</definedName>
    <definedName name="__123Graph_BLRNRATE" hidden="1">#REF!</definedName>
    <definedName name="__123Graph_BPROD_MARG" hidden="1">#REF!</definedName>
    <definedName name="__123Graph_C" hidden="1">#REF!</definedName>
    <definedName name="__123Graph_CLRN" hidden="1">#REF!</definedName>
    <definedName name="__123Graph_CLRNRATE" hidden="1">#REF!</definedName>
    <definedName name="__123Graph_CPROD_MARG" hidden="1">#REF!</definedName>
    <definedName name="__123Graph_D" hidden="1">#REF!</definedName>
    <definedName name="__123Graph_DPROD_MARG" hidden="1">#REF!</definedName>
    <definedName name="__123Graph_E" localSheetId="0" hidden="1">#REF!</definedName>
    <definedName name="__123Graph_E" hidden="1">#REF!</definedName>
    <definedName name="__123Graph_EPROD_MARG" hidden="1">#REF!</definedName>
    <definedName name="__123Graph_F" hidden="1">#REF!</definedName>
    <definedName name="__123Graph_X" hidden="1">#REF!</definedName>
    <definedName name="__123Graph_XCURRENT" hidden="1">#REF!</definedName>
    <definedName name="__123Graph_XGRPH_EXPIRE" hidden="1">#REF!</definedName>
    <definedName name="__123Graph_XLRN" hidden="1">#REF!</definedName>
    <definedName name="__123Graph_XLRNRATE" hidden="1">#REF!</definedName>
    <definedName name="__12Graph_F" hidden="1">#REF!</definedName>
    <definedName name="__APW_RESTORE_DATA0__" hidden="1">#REF!,#REF!,#REF!,#REF!,#REF!,#REF!</definedName>
    <definedName name="__APW_RESTORE_DATA1__" hidden="1">#REF!,#REF!,#REF!,#REF!,#REF!,#REF!</definedName>
    <definedName name="__APW_RESTORE_DATA10__" hidden="1">#REF!</definedName>
    <definedName name="__APW_RESTORE_DATA11__" hidden="1">#REF!,#REF!,#REF!,#REF!,#REF!,#REF!</definedName>
    <definedName name="__APW_RESTORE_DATA12__" hidden="1">#REF!</definedName>
    <definedName name="__APW_RESTORE_DATA13__" hidden="1">#REF!,#REF!,#REF!,#REF!,#REF!,#REF!</definedName>
    <definedName name="__APW_RESTORE_DATA14__" hidden="1">#REF!,#REF!,#REF!,#REF!,#REF!,#REF!</definedName>
    <definedName name="__APW_RESTORE_DATA15__" hidden="1">#REF!</definedName>
    <definedName name="__APW_RESTORE_DATA2__" hidden="1">#REF!</definedName>
    <definedName name="__APW_RESTORE_DATA3__" hidden="1">#REF!,#REF!,#REF!,#REF!,#REF!,#REF!</definedName>
    <definedName name="__APW_RESTORE_DATA4__" hidden="1">#REF!</definedName>
    <definedName name="__APW_RESTORE_DATA5__" hidden="1">#REF!,#REF!,#REF!,#REF!,#REF!,#REF!</definedName>
    <definedName name="__APW_RESTORE_DATA6__" hidden="1">#REF!</definedName>
    <definedName name="__APW_RESTORE_DATA7__" hidden="1">#REF!</definedName>
    <definedName name="__APW_RESTORE_DATA8__" hidden="1">#REF!,#REF!,#REF!,#REF!,#REF!,#REF!</definedName>
    <definedName name="__APW_RESTORE_DATA9__" hidden="1">#REF!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U4" hidden="1">{"Page 1",#N/A,TRUE,"Sheet1";"Page 2",#N/A,TRUE,"Sheet1"}</definedName>
    <definedName name="__ControlBit__" hidden="1">"ENCODE_"</definedName>
    <definedName name="__Convert__" hidden="1">"ENCODE_"</definedName>
    <definedName name="__FDS_HYPERLINK_TOGGLE_STATE__" hidden="1">"ON"</definedName>
    <definedName name="__FDS_UNIQUE_RANGE_ID_GENERATOR_COUNTER" hidden="1">1</definedName>
    <definedName name="__FDS_USED_FOR_REUSING_RANGE_IDS_RECYCLE" hidden="1">{9,29,11,6,3,15,13,1,25,5,7,39,8,41}</definedName>
    <definedName name="__GWL2" localSheetId="0" hidden="1">{#N/A,#N/A,FALSE,"Performance_Products_Sold"}</definedName>
    <definedName name="__GWL2" hidden="1">{#N/A,#N/A,FALSE,"Performance_Products_Sold"}</definedName>
    <definedName name="__IncludeVoucher__" hidden="1">"ENCODE_"</definedName>
    <definedName name="__InRelation__" hidden="1">"ENCODE_"</definedName>
    <definedName name="__IntlFixup" hidden="1">TRUE</definedName>
    <definedName name="__LE1" hidden="1">#REF!</definedName>
    <definedName name="__LockDescription__" hidden="1">"ENCODE_"</definedName>
    <definedName name="__LockFormula__" hidden="1">"ENCODE_"</definedName>
    <definedName name="__Max1" hidden="1">#REF!</definedName>
    <definedName name="__Max2" hidden="1">#REF!</definedName>
    <definedName name="__Min1" hidden="1">#REF!</definedName>
    <definedName name="__Min2" hidden="1">#REF!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Q1" hidden="1">{"'Standalone List Price Trends'!$A$1:$X$56"}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RoundBit__" hidden="1">"ENCODE_"</definedName>
    <definedName name="__RptBeginDate__" hidden="1">"ENCODE_"</definedName>
    <definedName name="__RptCurrency__" hidden="1">"ENCODE_UgBNAEIA"</definedName>
    <definedName name="__RptEndDate__" hidden="1">"ENCODE_"</definedName>
    <definedName name="__RptEndPeriod__" hidden="1">"ENCODE_MQA="</definedName>
    <definedName name="__RptGroupCurrency__" hidden="1">"ENCODE_"</definedName>
    <definedName name="__RptPeriod__" hidden="1">"ENCODE_MQA="</definedName>
    <definedName name="__RptYear__" hidden="1">"ENCODE_MgAwADAANwA="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elfDsn__" hidden="1">"ENCODE_"</definedName>
    <definedName name="__VBA__1" hidden="1">"ENCODE_"</definedName>
    <definedName name="__WC1" hidden="1">#REF!</definedName>
    <definedName name="__WC2" hidden="1">#REF!</definedName>
    <definedName name="_1__FDSAUDITLINK__" hidden="1">{"fdsup://IBCentral/FAT Viewer?action=UPDATE&amp;creator=factset&amp;DOC_NAME=fat:reuters_annual_source_window.fat&amp;display_string=Audit&amp;DYN_ARGS=TRUE&amp;VAR:ID1=07181310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0__123Graph_BCHART_3" hidden="1">#REF!</definedName>
    <definedName name="_10__FDSAUDITLINK__" hidden="1">{"fdsup://IBCentral/FAT Viewer?action=UPDATE&amp;creator=factset&amp;DOC_NAME=fat:reuters_qtrly_source_window.fat&amp;display_string=Audit&amp;DYN_ARGS=TRUE&amp;VAR:ID1=07181310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98235T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04313610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04313610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67070410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67070410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annual_source_window.fat&amp;display_string=Audit&amp;DYN_ARGS=TRUE&amp;VAR:ID1=21664840&amp;VAR:RCODE=SALES&amp;VAR:SDATE=20071099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annual_source_window.fat&amp;display_string=Audit&amp;DYN_ARGS=TRUE&amp;VAR:ID1=00763M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annual_source_window.fat&amp;display_string=Audit&amp;DYN_ARGS=TRUE&amp;VAR:ID1=H0130110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annual_pshs_src_window.fat&amp;display_string=Audit&amp;DYN_ARGS=TRUE&amp;VAR:ID1=21664840&amp;VAR:RCODE=FDSEPS&amp;VAR:SDATE=20071099&amp;VAR:FREQ=Y&amp;VAR:RELITEM=RP&amp;VAR:CURRENCY=&amp;VAR:CURRSOURCE=EXSHA","RE&amp;VAR:NATFREQ=ANNUAL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annual_pshs_src_window.fat&amp;display_string=Audit&amp;DYN_ARGS=TRUE&amp;VAR:ID1=00763M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1__123Graph_ACHART_5" hidden="1">#REF!</definedName>
    <definedName name="_11__123Graph_BCHART_4" hidden="1">#REF!</definedName>
    <definedName name="_11__FDSAUDITLINK__" hidden="1">{"fdsup://IBCentral/FAT Viewer?action=UPDATE&amp;creator=factset&amp;DOC_NAME=fat:reuters_qtrly_source_window.fat&amp;display_string=Audit&amp;DYN_ARGS=TRUE&amp;VAR:ID1=G2552X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annual_pshs_src_window.fat&amp;display_string=Audit&amp;DYN_ARGS=TRUE&amp;VAR:ID1=H0130110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21664840&amp;VAR:RCODE=STLD&amp;VAR:SDATE=20080199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21664840&amp;VAR:RCODE=SCSI&amp;VAR:SDATE=20080199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00763M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qtrly_source_window.fat&amp;display_string=Audit&amp;DYN_ARGS=TRUE&amp;VAR:ID1=00763M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H0130110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qtrly_source_window.fat&amp;display_string=Audit&amp;DYN_ARGS=TRUE&amp;VAR:ID1=H0130110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annual_source_window.fat&amp;display_string=Audit&amp;DYN_ARGS=TRUE&amp;VAR:ID1=83175M20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annual_source_window.fat&amp;display_string=Audit&amp;DYN_ARGS=TRUE&amp;VAR:ID1=98956P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annual_source_window.fat&amp;display_string=Audit&amp;DYN_ARGS=TRUE&amp;VAR:ID1=86366710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2__123Graph_BCHART_5" hidden="1">#REF!</definedName>
    <definedName name="_12__FDSAUDITLINK__" hidden="1">{"fdsup://IBCentral/FAT Viewer?action=UPDATE&amp;creator=factset&amp;DOC_NAME=fat:reuters_qtrly_source_window.fat&amp;display_string=Audit&amp;DYN_ARGS=TRUE&amp;VAR:ID1=G2552X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annual_pshs_src_window.fat&amp;display_string=Audit&amp;DYN_ARGS=TRUE&amp;VAR:ID1=83175M20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annual_pshs_src_window.fat&amp;display_string=Audit&amp;DYN_ARGS=TRUE&amp;VAR:ID1=98956P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annual_pshs_src_window.fat&amp;display_string=Audit&amp;DYN_ARGS=TRUE&amp;VAR:ID1=86366710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83175M20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3Graph_X" hidden="1">#REF!</definedName>
    <definedName name="_124__FDSAUDITLINK__" hidden="1">{"fdsup://IBCentral/FAT Viewer?action=UPDATE&amp;creator=factset&amp;DOC_NAME=fat:reuters_qtrly_source_window.fat&amp;display_string=Audit&amp;DYN_ARGS=TRUE&amp;VAR:ID1=83175M20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4graph_BLRNRATE" hidden="1">#REF!</definedName>
    <definedName name="_124Graph_CLRN" hidden="1">#REF!</definedName>
    <definedName name="_124Graph_CLRNRATE" hidden="1">#REF!</definedName>
    <definedName name="_125__FDSAUDITLINK__" hidden="1">{"fdsup://IBCentral/FAT Viewer?action=UPDATE&amp;creator=factset&amp;DOC_NAME=fat:reuters_qtrly_source_window.fat&amp;display_string=Audit&amp;DYN_ARGS=TRUE&amp;VAR:ID1=98956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98956P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86366710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qtrly_source_window.fat&amp;display_string=Audit&amp;DYN_ARGS=TRUE&amp;VAR:ID1=86366710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qtrly_source_window.fat&amp;display_string=Audit&amp;DYN_ARGS=TRUE&amp;VAR:ID1=98956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__123Graph_ACHART_6" hidden="1">#REF!</definedName>
    <definedName name="_13__123Graph_BCHART_6" hidden="1">#REF!</definedName>
    <definedName name="_13__FDSAUDITLINK__" hidden="1">{"fdsup://IBCentral/FAT Viewer?action=UPDATE&amp;creator=factset&amp;DOC_NAME=fat:reuters_qtrly_source_window.fat&amp;display_string=Audit&amp;DYN_ARGS=TRUE&amp;VAR:ID1=00282410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qtrly_source_window.fat&amp;display_string=Audit&amp;DYN_ARGS=TRUE&amp;VAR:ID1=98956P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86366710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86366710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98956P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86366710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86366710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21664840&amp;VAR:RCODE=SCSI&amp;VAR:SDATE=20080199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__123Graph_XCHART_1" hidden="1">#REF!</definedName>
    <definedName name="_14__FDSAUDITLINK__" hidden="1">{"fdsup://IBCentral/FAT Viewer?action=UPDATE&amp;creator=factset&amp;DOC_NAME=fat:reuters_qtrly_source_window.fat&amp;display_string=Audit&amp;DYN_ARGS=TRUE&amp;VAR:ID1=00282410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_123Graph_BCHART_1" hidden="1">#REF!</definedName>
    <definedName name="_15__123Graph_XCHART_2" hidden="1">#REF!</definedName>
    <definedName name="_15__FDSAUDITLINK__" hidden="1">{"fdsup://IBCentral/FAT Viewer?action=UPDATE&amp;creator=factset&amp;DOC_NAME=fat:reuters_qtrly_source_window.fat&amp;display_string=Audit&amp;DYN_ARGS=TRUE&amp;VAR:ID1=47816010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123Graph_XCHART_3" hidden="1">#REF!</definedName>
    <definedName name="_16__FDSAUDITLINK__" hidden="1">{"fdsup://IBCentral/FAT Viewer?action=UPDATE&amp;creator=factset&amp;DOC_NAME=fat:reuters_qtrly_source_window.fat&amp;display_string=Audit&amp;DYN_ARGS=TRUE&amp;VAR:ID1=47816010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__123Graph_BCHART_2" hidden="1">#REF!</definedName>
    <definedName name="_17__123Graph_XCHART_4" hidden="1">#REF!</definedName>
    <definedName name="_17__FDSAUDITLINK__" hidden="1">{"fdsup://IBCentral/FAT Viewer?action=UPDATE&amp;creator=factset&amp;DOC_NAME=fat:reuters_annual_source_window.fat&amp;display_string=Audit&amp;DYN_ARGS=TRUE&amp;VAR:ID1=79084910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__123Graph_XCHART_5" hidden="1">#REF!</definedName>
    <definedName name="_18__FDSAUDITLINK__" hidden="1">{"fdsup://IBCentral/FAT Viewer?action=UPDATE&amp;creator=factset&amp;DOC_NAME=fat:reuters_annual_source_window.fat&amp;display_string=Audit&amp;DYN_ARGS=TRUE&amp;VAR:ID1=58505510&amp;VAR:RCODE=SALES&amp;VAR:SDATE=20080499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__123Graph_BCHART_3" hidden="1">#REF!</definedName>
    <definedName name="_19__123Graph_XCHART_6" hidden="1">#REF!</definedName>
    <definedName name="_19__FDSAUDITLINK__" hidden="1">{"fdsup://IBCentral/FAT Viewer?action=UPDATE&amp;creator=factset&amp;DOC_NAME=fat:reuters_annual_source_window.fat&amp;display_string=Audit&amp;DYN_ARGS=TRUE&amp;VAR:ID1=10113710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__123Graph_ACHART_1" localSheetId="0" hidden="1">#REF!</definedName>
    <definedName name="_2__123Graph_ACHART_1" hidden="1">#REF!</definedName>
    <definedName name="_2__123Graph_AChart_2" hidden="1">#REF!</definedName>
    <definedName name="_2__FDSAUDITLINK__" hidden="1">{"fdsup://IBCentral/FAT Viewer?action=UPDATE&amp;creator=factset&amp;DOC_NAME=fat:reuters_annual_source_window.fat&amp;display_string=Audit&amp;DYN_ARGS=TRUE&amp;VAR:ID1=G2552X10&amp;VAR:RCODE=SALES&amp;VAR:SDATE=20070999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annual_pshs_src_window.fat&amp;display_string=Audit&amp;DYN_ARGS=TRUE&amp;VAR:ID1=79084910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1__123Graph_BCHART_4" hidden="1">#REF!</definedName>
    <definedName name="_21__FDSAUDITLINK__" hidden="1">{"fdsup://IBCentral/FAT Viewer?action=UPDATE&amp;creator=factset&amp;DOC_NAME=fat:reuters_annual_pshs_src_window.fat&amp;display_string=Audit&amp;DYN_ARGS=TRUE&amp;VAR:ID1=58505510&amp;VAR:RCODE=FDSEPS&amp;VAR:SDATE=20080499&amp;VAR:FREQ=Y&amp;VAR:RELITEM=RP&amp;VAR:CURRENCY=&amp;VAR:CURRSOURCE=EXSHA","RE&amp;VAR:NATFREQ=ANNUAL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annual_pshs_src_window.fat&amp;display_string=Audit&amp;DYN_ARGS=TRUE&amp;VAR:ID1=10113710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3__123Graph_BCHART_5" hidden="1">#REF!</definedName>
    <definedName name="_23__FDSAUDITLINK__" hidden="1">{"fdsup://IBCentral/FAT Viewer?action=UPDATE&amp;creator=factset&amp;DOC_NAME=fat:reuters_qtrly_source_window.fat&amp;display_string=Audit&amp;DYN_ARGS=TRUE&amp;VAR:ID1=79084910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qtrly_source_window.fat&amp;display_string=Audit&amp;DYN_ARGS=TRUE&amp;VAR:ID1=79084910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_123Graph_BCHART_6" hidden="1">#REF!</definedName>
    <definedName name="_25__FDSAUDITLINK__" hidden="1">{"fdsup://IBCentral/FAT Viewer?action=UPDATE&amp;creator=factset&amp;DOC_NAME=fat:reuters_qtrly_source_window.fat&amp;display_string=Audit&amp;DYN_ARGS=TRUE&amp;VAR:ID1=58505510&amp;VAR:RCODE=STLD&amp;VAR:SDATE=20080499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qtrly_source_window.fat&amp;display_string=Audit&amp;DYN_ARGS=TRUE&amp;VAR:ID1=58505510&amp;VAR:RCODE=SCSI&amp;VAR:SDATE=20080499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7__123Graph_XCHART_1" hidden="1">#REF!</definedName>
    <definedName name="_27__FDSAUDITLINK__" hidden="1">{"fdsup://IBCentral/FAT Viewer?action=UPDATE&amp;creator=factset&amp;DOC_NAME=fat:reuters_qtrly_source_window.fat&amp;display_string=Audit&amp;DYN_ARGS=TRUE&amp;VAR:ID1=10113710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10113710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__123Graph_XCHART_2" hidden="1">#REF!</definedName>
    <definedName name="_29__FDSAUDITLINK__" hidden="1">{"fdsup://IBCentral/FAT Viewer?action=UPDATE&amp;creator=factset&amp;DOC_NAME=fat:reuters_annual_source_window.fat&amp;display_string=Audit&amp;DYN_ARGS=TRUE&amp;VAR:ID1=74975N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__123Graph_ACHART_1" hidden="1">#REF!</definedName>
    <definedName name="_3__123Graph_ACHART_2" localSheetId="0" hidden="1">#REF!</definedName>
    <definedName name="_3__123Graph_ACHART_2" hidden="1">#REF!</definedName>
    <definedName name="_3__123Graph_AChart_3" hidden="1">#REF!</definedName>
    <definedName name="_3__FDSAUDITLINK__" hidden="1">{"fdsup://IBCentral/FAT Viewer?action=UPDATE&amp;creator=factset&amp;DOC_NAME=fat:reuters_annual_source_window.fat&amp;display_string=Audit&amp;DYN_ARGS=TRUE&amp;VAR:ID1=00282410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annual_source_window.fat&amp;display_string=Audit&amp;DYN_ARGS=TRUE&amp;VAR:ID1=41130710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1__123Graph_XCHART_3" hidden="1">#REF!</definedName>
    <definedName name="_31__FDSAUDITLINK__" hidden="1">{"fdsup://IBCentral/FAT Viewer?action=UPDATE&amp;creator=factset&amp;DOC_NAME=fat:reuters_annual_source_window.fat&amp;display_string=Audit&amp;DYN_ARGS=TRUE&amp;VAR:ID1=85916J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88517530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3__123Graph_XCHART_4" hidden="1">#REF!</definedName>
    <definedName name="_33__FDSAUDITLINK__" hidden="1">{"fdsup://IBCentral/FAT Viewer?action=UPDATE&amp;creator=factset&amp;DOC_NAME=fat:reuters_annual_source_window.fat&amp;display_string=Audit&amp;DYN_ARGS=TRUE&amp;VAR:ID1=06738310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annual_source_window.fat&amp;display_string=Audit&amp;DYN_ARGS=TRUE&amp;VAR:ID1=30064E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5__123Graph_XCHART_5" hidden="1">#REF!</definedName>
    <definedName name="_35__FDSAUDITLINK__" hidden="1">{"fdsup://IBCentral/FAT Viewer?action=UPDATE&amp;creator=factset&amp;DOC_NAME=fat:reuters_annual_source_window.fat&amp;display_string=Audit&amp;DYN_ARGS=TRUE&amp;VAR:ID1=26928A20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annual_source_window.fat&amp;display_string=Audit&amp;DYN_ARGS=TRUE&amp;VAR:ID1=92864510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7__123Graph_XCHART_6" hidden="1">#REF!</definedName>
    <definedName name="_37__FDSAUDITLINK__" hidden="1">{"fdsup://IBCentral/FAT Viewer?action=UPDATE&amp;creator=factset&amp;DOC_NAME=fat:reuters_annual_source_window.fat&amp;display_string=Audit&amp;DYN_ARGS=TRUE&amp;VAR:ID1=01625510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annual_pshs_src_window.fat&amp;display_string=Audit&amp;DYN_ARGS=TRUE&amp;VAR:ID1=74975N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annual_pshs_src_window.fat&amp;display_string=Audit&amp;DYN_ARGS=TRUE&amp;VAR:ID1=41130710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__123Graph_ACHART_3" hidden="1">#REF!</definedName>
    <definedName name="_4__123Graph_AChart_4" hidden="1">#REF!</definedName>
    <definedName name="_4__123Graph_BCHART_1" hidden="1">#REF!</definedName>
    <definedName name="_4__FDSAUDITLINK__" hidden="1">{"fdsup://IBCentral/FAT Viewer?action=UPDATE&amp;creator=factset&amp;DOC_NAME=fat:reuters_annual_source_window.fat&amp;display_string=Audit&amp;DYN_ARGS=TRUE&amp;VAR:ID1=47816010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annual_pshs_src_window.fat&amp;display_string=Audit&amp;DYN_ARGS=TRUE&amp;VAR:ID1=85916J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annual_pshs_src_window.fat&amp;display_string=Audit&amp;DYN_ARGS=TRUE&amp;VAR:ID1=88517530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pshs_src_window.fat&amp;display_string=Audit&amp;DYN_ARGS=TRUE&amp;VAR:ID1=06738310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annual_pshs_src_window.fat&amp;display_string=Audit&amp;DYN_ARGS=TRUE&amp;VAR:ID1=30064E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annual_pshs_src_window.fat&amp;display_string=Audit&amp;DYN_ARGS=TRUE&amp;VAR:ID1=26928A20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annual_pshs_src_window.fat&amp;display_string=Audit&amp;DYN_ARGS=TRUE&amp;VAR:ID1=92864510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annual_pshs_src_window.fat&amp;display_string=Audit&amp;DYN_ARGS=TRUE&amp;VAR:ID1=01625510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74975N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74975N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41130710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__123Graph_ACHART_2" hidden="1">#REF!</definedName>
    <definedName name="_5__123Graph_ACHART_4" hidden="1">#REF!</definedName>
    <definedName name="_5__123Graph_BChart_3" hidden="1">#REF!</definedName>
    <definedName name="_5__123Graph_CCHART_1" hidden="1">#REF!</definedName>
    <definedName name="_5__FDSAUDITLINK__" hidden="1">{"fdsup://IBCentral/FAT Viewer?action=UPDATE&amp;creator=factset&amp;DOC_NAME=fat:reuters_annual_pshs_src_window.fat&amp;display_string=Audit&amp;DYN_ARGS=TRUE&amp;VAR:ID1=07181310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qtrly_source_window.fat&amp;display_string=Audit&amp;DYN_ARGS=TRUE&amp;VAR:ID1=41130710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85916J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qtrly_source_window.fat&amp;display_string=Audit&amp;DYN_ARGS=TRUE&amp;VAR:ID1=85916J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qtrly_source_window.fat&amp;display_string=Audit&amp;DYN_ARGS=TRUE&amp;VAR:ID1=88517530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88517530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06738310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06738310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30064E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30064E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26928A20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123Graph_ACHART_5" hidden="1">#REF!</definedName>
    <definedName name="_6__123Graph_BChart_4" hidden="1">#REF!</definedName>
    <definedName name="_6__123Graph_DCHART_1" hidden="1">#REF!</definedName>
    <definedName name="_6__FDSAUDITLINK__" hidden="1">{"fdsup://IBCentral/FAT Viewer?action=UPDATE&amp;creator=factset&amp;DOC_NAME=fat:reuters_annual_pshs_src_window.fat&amp;display_string=Audit&amp;DYN_ARGS=TRUE&amp;VAR:ID1=G2552X10&amp;VAR:RCODE=FDSEPS&amp;VAR:SDATE=20070999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qtrly_source_window.fat&amp;display_string=Audit&amp;DYN_ARGS=TRUE&amp;VAR:ID1=26928A20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92864510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92864510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01625510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01625510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87154620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annual_source_window.fat&amp;display_string=Audit&amp;DYN_ARGS=TRUE&amp;VAR:ID1=83568G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annual_source_window.fat&amp;display_string=Audit&amp;DYN_ARGS=TRUE&amp;VAR:ID1=20741010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annual_source_window.fat&amp;display_string=Audit&amp;DYN_ARGS=TRUE&amp;VAR:ID1=49460W20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annual_source_window.fat&amp;display_string=Audit&amp;DYN_ARGS=TRUE&amp;VAR:ID1=45798520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7__123Graph_ACHART_3" hidden="1">#REF!</definedName>
    <definedName name="_7__123Graph_ACHART_6" hidden="1">#REF!</definedName>
    <definedName name="_7__123Graph_ECHART_1" hidden="1">#REF!</definedName>
    <definedName name="_7__123Graph_XChart_2" hidden="1">#REF!</definedName>
    <definedName name="_7__FDSAUDITLINK__" hidden="1">{"fdsup://IBCentral/FAT Viewer?action=UPDATE&amp;creator=factset&amp;DOC_NAME=fat:reuters_annual_pshs_src_window.fat&amp;display_string=Audit&amp;DYN_ARGS=TRUE&amp;VAR:ID1=00282410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annual_source_window.fat&amp;display_string=Audit&amp;DYN_ARGS=TRUE&amp;VAR:ID1=02081G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N6748L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annual_source_window.fat&amp;display_string=Audit&amp;DYN_ARGS=TRUE&amp;VAR:ID1=98235T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annual_source_window.fat&amp;display_string=Audit&amp;DYN_ARGS=TRUE&amp;VAR:ID1=04313610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67070410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annual_pshs_src_window.fat&amp;display_string=Audit&amp;DYN_ARGS=TRUE&amp;VAR:ID1=87154620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annual_pshs_src_window.fat&amp;display_string=Audit&amp;DYN_ARGS=TRUE&amp;VAR:ID1=83568G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annual_pshs_src_window.fat&amp;display_string=Audit&amp;DYN_ARGS=TRUE&amp;VAR:ID1=20741010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annual_pshs_src_window.fat&amp;display_string=Audit&amp;DYN_ARGS=TRUE&amp;VAR:ID1=49460W20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annual_pshs_src_window.fat&amp;display_string=Audit&amp;DYN_ARGS=TRUE&amp;VAR:ID1=45798520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8__123Graph_BCHART_1" hidden="1">#REF!</definedName>
    <definedName name="_8__123Graph_XCHART_2" hidden="1">#REF!</definedName>
    <definedName name="_8__123Graph_XChart_3" hidden="1">#REF!</definedName>
    <definedName name="_8__FDSAUDITLINK__" hidden="1">{"fdsup://IBCentral/FAT Viewer?action=UPDATE&amp;creator=factset&amp;DOC_NAME=fat:reuters_annual_pshs_src_window.fat&amp;display_string=Audit&amp;DYN_ARGS=TRUE&amp;VAR:ID1=47816010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annual_pshs_src_window.fat&amp;display_string=Audit&amp;DYN_ARGS=TRUE&amp;VAR:ID1=02081G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annual_pshs_src_window.fat&amp;display_string=Audit&amp;DYN_ARGS=TRUE&amp;VAR:ID1=N6748L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annual_pshs_src_window.fat&amp;display_string=Audit&amp;DYN_ARGS=TRUE&amp;VAR:ID1=98235T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annual_pshs_src_window.fat&amp;display_string=Audit&amp;DYN_ARGS=TRUE&amp;VAR:ID1=04313610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annual_pshs_src_window.fat&amp;display_string=Audit&amp;DYN_ARGS=TRUE&amp;VAR:ID1=67070410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87154620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87154620&amp;VAR:RCODE=SCSI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qtrly_source_window.fat&amp;display_string=Audit&amp;DYN_ARGS=TRUE&amp;VAR:ID1=83568G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83568G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20741010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__123Graph_ACHART_4" hidden="1">#REF!</definedName>
    <definedName name="_9__123Graph_BCHART_2" hidden="1">#REF!</definedName>
    <definedName name="_9__123Graph_XChart_4" hidden="1">#REF!</definedName>
    <definedName name="_9__FDSAUDITLINK__" hidden="1">{"fdsup://IBCentral/FAT Viewer?action=UPDATE&amp;creator=factset&amp;DOC_NAME=fat:reuters_qtrly_source_window.fat&amp;display_string=Audit&amp;DYN_ARGS=TRUE&amp;VAR:ID1=07181310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20741010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49460W20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49460W20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45798520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45798520&amp;VAR:RCODE=SCSI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qtrly_source_window.fat&amp;display_string=Audit&amp;DYN_ARGS=TRUE&amp;VAR:ID1=02081G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02081G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N6748L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N6748L10&amp;VAR:RCODE=SCSI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98235T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aaa1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_aaa1" hidden="1">{#N/A,#N/A,FALSE,"Antony Financials";#N/A,#N/A,FALSE,"Cowboy Financials";#N/A,#N/A,FALSE,"Combined";#N/A,#N/A,FALSE,"Valuematrix";#N/A,#N/A,FALSE,"DCFAntony";#N/A,#N/A,FALSE,"DCFCowboy";#N/A,#N/A,FALSE,"DCFCombined"}</definedName>
    <definedName name="_ad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localSheetId="0" hidden="1">0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localSheetId="0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0047b5e576784e7fb774a27a23e20723.edm" hidden="1">#REF!</definedName>
    <definedName name="_bdm.00a53d3dc7014f26ae9dcf67b245d285.edm" hidden="1">#REF!</definedName>
    <definedName name="_bdm.00c9d895c86b41e8aac8319b2a5df172.edm" hidden="1">#REF!</definedName>
    <definedName name="_bdm.00d4c213837144ab97464edf2a4e2146.edm" hidden="1">#REF!</definedName>
    <definedName name="_bdm.0212DFFC1A0C410AB03B85791489E314.edm" hidden="1">#REF!</definedName>
    <definedName name="_bdm.0656a05f24104a3291a448907fe20558.edm" hidden="1">#REF!</definedName>
    <definedName name="_bdm.06e3093d5fe94224ba9902ab893cddbf.edm" hidden="1">#REF!</definedName>
    <definedName name="_bdm.07029838ffe2419fb6b4d3710403c428.edm" hidden="1">#REF!</definedName>
    <definedName name="_bdm.0727FB01840844D786CB71C844C9EB4C.edm" hidden="1">#REF!</definedName>
    <definedName name="_bdm.07770C4610E5438D97E300C16D056E98.edm" hidden="1">#REF!</definedName>
    <definedName name="_bdm.08E906A3B032434B809DF8092B86D2B7.edm" hidden="1">#REF!</definedName>
    <definedName name="_bdm.0937F7D5D75D47909A107C4153EF30C5.edm" hidden="1">#REF!</definedName>
    <definedName name="_bdm.0beb03aabd7d4fcc8d9787711a939e29.edm" hidden="1">#REF!</definedName>
    <definedName name="_bdm.0d10183eb68b4bb8935e54b5ba858c24.edm" hidden="1">#REF!</definedName>
    <definedName name="_bdm.0d72514b93da484180567b3168388123.edm" hidden="1">#REF!</definedName>
    <definedName name="_bdm.11d0fd8df6824a5f93f5ce8e44e92b8c.edm" hidden="1">#REF!</definedName>
    <definedName name="_bdm.1435d0a069934c24b78c69698923b6d5.edm" hidden="1">#REF!</definedName>
    <definedName name="_bdm.1448c9150d684a2c89fa761150ad5b1a.edm" hidden="1">#REF!</definedName>
    <definedName name="_bdm.159A40241D984E22B6E755BD37282CB3.edm" hidden="1">#REF!</definedName>
    <definedName name="_bdm.162ddbd8eb364840beab7e3388886b6c.edm" hidden="1">#REF!</definedName>
    <definedName name="_bdm.1667D34F451B47A291E6F994C4DCF306.edm" hidden="1">#REF!</definedName>
    <definedName name="_bdm.179201b1cbd14b459d90fb6087e1976b.edm" hidden="1">#REF!</definedName>
    <definedName name="_bdm.19154d097aa44f17b11947e54a75d36e.edm" hidden="1">#REF!</definedName>
    <definedName name="_bdm.1CDE706ABE974904AB10D5BEDFF51CF1.edm" hidden="1">#REF!</definedName>
    <definedName name="_bdm.1D31ADDD89E94A38B7BE8F46C37088B8.edm" hidden="1">#REF!</definedName>
    <definedName name="_bdm.1ef746f4c587474893e3643ef25795fa.edm" hidden="1">#REF!</definedName>
    <definedName name="_bdm.203A700151E74AC194E303E69BA9C259.edm" hidden="1">#REF!</definedName>
    <definedName name="_bdm.221A9393172942218BF4C88122E45E37.edm" hidden="1">#REF!</definedName>
    <definedName name="_bdm.2231066223884cc78c4d8513afff5d2b.edm" hidden="1">#REF!</definedName>
    <definedName name="_bdm.250c326419314079a4c276d3f07c1476.edm" hidden="1">#REF!</definedName>
    <definedName name="_bdm.28020abae94e45e29f43046197f7e977.edm" hidden="1">#REF!</definedName>
    <definedName name="_bdm.28bc9b2a752a46939f9a085e30d529de.edm" hidden="1">#REF!</definedName>
    <definedName name="_bdm.2CFBB96DCC934281B58C1FC3E874DB82.edm" hidden="1">#REF!</definedName>
    <definedName name="_bdm.2e29d03818e84aaeb3bccaf67af53d9f.edm" hidden="1">#REF!</definedName>
    <definedName name="_bdm.2EE9F91D5241460AAC5150A0A8DD30FF.edm" hidden="1">#REF!</definedName>
    <definedName name="_bdm.2F24A8BD52384E19A7A637CDC5866186.edm" hidden="1">#REF!</definedName>
    <definedName name="_bdm.3092689E7F68403C9292BEBC403D2B15.edm" hidden="1">#REF!</definedName>
    <definedName name="_bdm.30b3c564dfcc40c4bf1bb362982a7da1.edm" hidden="1">#REF!</definedName>
    <definedName name="_bdm.31135dd0d18e45bb9ac8b6a4bfdd69b0.edm" hidden="1">#REF!</definedName>
    <definedName name="_bdm.314BBCC8E133420F829BD730B4381557.edm" hidden="1">#REF!</definedName>
    <definedName name="_bdm.323666df7a394f75a6dbd55c42b8fb69.edm" hidden="1">#REF!</definedName>
    <definedName name="_bdm.367985CB18ED464082C32C8004AF3DBB.edm" hidden="1">#REF!</definedName>
    <definedName name="_bdm.3A4AF8DBFC4D4164BC2010E4235A20E8.edm" hidden="1">#REF!</definedName>
    <definedName name="_bdm.3c1ff7c15cf6412c87ded7b015c9748c.edm" hidden="1">#REF!</definedName>
    <definedName name="_bdm.3C6262B1B9C140AB8A295AD5117BBFC0.edm" hidden="1">#REF!</definedName>
    <definedName name="_bdm.3D4818FE98214A0DA4DD456BC95C9182.edm" hidden="1">#REF!</definedName>
    <definedName name="_bdm.40d737d0ba9e46f2b4ec4f25ca9f186f.edm" hidden="1">#REF!</definedName>
    <definedName name="_bdm.43262ff5d007422b926bd15eb4eedefe.edm" hidden="1">#REF!</definedName>
    <definedName name="_bdm.43970535467C4553B38D31CF93689521.edm" hidden="1">#REF!</definedName>
    <definedName name="_bdm.4489c3605ceb4c5b8f4e1213e524b272.edm" hidden="1">#REF!</definedName>
    <definedName name="_bdm.462bcaf5263247379bc5499b6e6efe8f.edm" hidden="1">#REF!</definedName>
    <definedName name="_bdm.47F6196DA00C4CD0AC70EF2DF9331ED4.edm" hidden="1">#REF!</definedName>
    <definedName name="_bdm.48f22bdef63b4045ab59f5d6d16d614b.edm" hidden="1">#REF!</definedName>
    <definedName name="_bdm.4adeaf71627646dd9dc89998e3705b9f.edm" hidden="1">#REF!</definedName>
    <definedName name="_bdm.4BA88AF9071C434EB75CA3D111800785.edm" hidden="1">#REF!</definedName>
    <definedName name="_bdm.4bad4659fd7c4f6b9b9e36123031b5f5.edm" hidden="1">#REF!</definedName>
    <definedName name="_bdm.4CCB1CCC25C4472D8D2F479631AE5C74.edm" hidden="1">#REF!</definedName>
    <definedName name="_bdm.50B0187CEB404A68BF4C1219050ADA96.edm" hidden="1">#REF!</definedName>
    <definedName name="_bdm.512cc58d2adf4746a3255029125faf03.edm" hidden="1">#REF!</definedName>
    <definedName name="_bdm.54146e0d0fe546458196c7defdd2e4f0.edm" hidden="1">#REF!</definedName>
    <definedName name="_bdm.5695c693ab704dd7b41bffde051fd69a.edm" hidden="1">#REF!</definedName>
    <definedName name="_bdm.58f2befaeecc425b84186e23d8267986.edm" hidden="1">#REF!</definedName>
    <definedName name="_bdm.591d5d5e447140e583024f2dd9121981.edm" hidden="1">#REF!</definedName>
    <definedName name="_bdm.599CC5D95B6447BD961CF0BBFC70EB51.edm" hidden="1">#REF!</definedName>
    <definedName name="_bdm.5d7221d5040645138815dc219503b760.edm" hidden="1">#REF!</definedName>
    <definedName name="_bdm.5DFC73F990E4481599AA49889538BDDD.edm" hidden="1">#REF!</definedName>
    <definedName name="_bdm.5dfd8ee77910481e9fd77817415053e8.edm" hidden="1">#REF!</definedName>
    <definedName name="_bdm.5fb67aaa44e84aa7870c9b13c9976d76.edm" hidden="1">#REF!</definedName>
    <definedName name="_bdm.6104d304d47d471397b712c1d32c822a.edm" hidden="1">#REF!</definedName>
    <definedName name="_bdm.620DA7BECEC3407AA327D2D103124C67.edm" hidden="1">#REF!</definedName>
    <definedName name="_bdm.622219d6ed854e22b27fd53860d8183e.edm" hidden="1">#REF!</definedName>
    <definedName name="_bdm.6239e4d00023422785883e0aadcde647.edm" hidden="1">#REF!</definedName>
    <definedName name="_bdm.63c44792d2904bd6a545682357848adb.edm" hidden="1">#REF!</definedName>
    <definedName name="_bdm.6615C7F19C8D442186AE6E09EF77236E.edm" hidden="1">#REF!</definedName>
    <definedName name="_bdm.6731247aed364b7b91144e421f5f7445.edm" hidden="1">#REF!</definedName>
    <definedName name="_bdm.6936904F447D4EC68E7EF173D0C5D062.edm" hidden="1">#REF!</definedName>
    <definedName name="_bdm.6b86c63332a84b56a10c83a2579d6305.edm" hidden="1">#REF!</definedName>
    <definedName name="_bdm.6C3C21AC95604C08847848B124ADF48C.edm" hidden="1">#REF!</definedName>
    <definedName name="_bdm.6f9bf800e1e04dd49d08ac64671a86bf.edm" hidden="1">#REF!</definedName>
    <definedName name="_bdm.6FAEE423EE824B2FBD0CF679DDF4C711.edm" hidden="1">#REF!</definedName>
    <definedName name="_bdm.7317FA0965BB429EA337AD9E02AC0386.edm" hidden="1">#REF!</definedName>
    <definedName name="_bdm.736ca71e316b448eb2da7f6616f30fa1.edm" hidden="1">#REF!</definedName>
    <definedName name="_bdm.7667f2e2ec314c6aa1daa9fcdf14dac1.edm" hidden="1">#REF!</definedName>
    <definedName name="_bdm.76AD57D1CB1D43FB8FF4D680B78F4B3B.edm" hidden="1">#REF!</definedName>
    <definedName name="_bdm.77198B387D9D41938974FDA68FF67B81.edm" hidden="1">#REF!</definedName>
    <definedName name="_bdm.78a6e4d998cb4c2d865f82f993240ab2.edm" hidden="1">#REF!</definedName>
    <definedName name="_bdm.7a1f2d8cd0ed4550b85ae74b32d56caf.edm" hidden="1">#REF!</definedName>
    <definedName name="_bdm.7C34919F0F2F4FC08546460F84CA54C2.edm" hidden="1">#REF!</definedName>
    <definedName name="_bdm.7f1905d420c04b9d9b7ad9b194b7a941.edm" hidden="1">#REF!</definedName>
    <definedName name="_bdm.7f4722a06acf4a418a9a6df4f61deb4b.edm" hidden="1">#REF!</definedName>
    <definedName name="_bdm.7fab3cb0bf6f49f7a9308531453d1895.edm" hidden="1">#REF!</definedName>
    <definedName name="_bdm.81ACE81BBA164E598B7D514CD4E45E03.edm" hidden="1">#REF!</definedName>
    <definedName name="_bdm.8249142CB5874BF5947E26128AE2C536.edm" hidden="1">#REF!</definedName>
    <definedName name="_bdm.83a2991128ab4162ae182f2bb7685ac0.edm" hidden="1">#REF!</definedName>
    <definedName name="_bdm.87473ed126e24f289dfa89fd0357b04d.edm" hidden="1">#REF!</definedName>
    <definedName name="_bdm.88CA575C8E4447C184EF246F886F95BD.edm" hidden="1">#REF!</definedName>
    <definedName name="_bdm.89b255cc757e4920abd2a73664c66e51.edm" hidden="1">#REF!</definedName>
    <definedName name="_bdm.8D3EC86C52BA4606BD1A5A5867FE3C64.edm" hidden="1">#REF!</definedName>
    <definedName name="_bdm.904F514AE53948DEAB0F1851E9277C35.edm" hidden="1">#REF!</definedName>
    <definedName name="_bdm.96d35b03768c4ec086da4c763663fa24.edm" hidden="1">#REF!</definedName>
    <definedName name="_bdm.99ee24758c594a0fa8cd086ff8935bda.edm" hidden="1">#REF!</definedName>
    <definedName name="_bdm.9cef5cc24d394eb0a1391ffa9168ef64.edm" hidden="1">#REF!</definedName>
    <definedName name="_bdm.9ebe7b65e9084ff2865b017b5514ef85.edm" hidden="1">#REF!</definedName>
    <definedName name="_bdm.9ed80f543f924674a77923cb034f5d0c.edm" hidden="1">#REF!</definedName>
    <definedName name="_bdm.a3049a345a3246db935d8c9e96c8f694.edm" hidden="1">#REF!</definedName>
    <definedName name="_bdm.A3729AD8894D417EBF0E35167E7CD68C.edm" hidden="1">#REF!</definedName>
    <definedName name="_bdm.a37a5a2834584d5e9965494f718d031c.edm" hidden="1">#REF!</definedName>
    <definedName name="_bdm.a4ee5868146842cd874d530effa6be9e.edm" hidden="1">#REF!</definedName>
    <definedName name="_bdm.a5b927fbe7a54c2dbfd5bcf275bdb8da.edm" hidden="1">#REF!</definedName>
    <definedName name="_bdm.a8a3107dbd5b4761a8412ef0231576d9.edm" hidden="1">#REF!</definedName>
    <definedName name="_bdm.a8cd11b7305f4322b2cd8a116095f5d3.edm" hidden="1">#REF!</definedName>
    <definedName name="_bdm.A9E3240BA7B34DDDAFEFBD34858D688B.edm" hidden="1">#REF!</definedName>
    <definedName name="_bdm.AAF5CE366D08433B852FFB2FE6BEE7BD.edm" hidden="1">#REF!</definedName>
    <definedName name="_bdm.AB9C13836CED4567B53E9B582B0342DF.edm" hidden="1">#REF!</definedName>
    <definedName name="_bdm.ac95984b147847d5922398ebf3f98250.edm" hidden="1">#REF!</definedName>
    <definedName name="_bdm.AF35239CE0974434AC10DACCD1E36B59.edm" hidden="1">#REF!</definedName>
    <definedName name="_bdm.B11A7C87792B41DD911022A159DA9FA1.edm" hidden="1">#REF!</definedName>
    <definedName name="_bdm.b45d77ea945e45b8bd36d84850c07704.edm" hidden="1">#REF!</definedName>
    <definedName name="_bdm.b5143dc808bc4db0a3a7564957186f92.edm" hidden="1">#REF!</definedName>
    <definedName name="_bdm.b5247bca459e49d9ac148ba6fcb4c2e1.edm" hidden="1">#REF!</definedName>
    <definedName name="_bdm.B5D0B6F2DA3044C2B0160E4D2F3D091A.edm" hidden="1">#REF!</definedName>
    <definedName name="_bdm.b94294113fe640c1ae5a7419c2f8100c.edm" hidden="1">#REF!</definedName>
    <definedName name="_bdm.b95e61c305b743f1afaeffff8bdf253d.edm" hidden="1">#REF!</definedName>
    <definedName name="_bdm.ba7e65b21e8f4f2db561866795c2d2ff.edm" hidden="1">#REF!</definedName>
    <definedName name="_bdm.bb64478fbda447ae891be5a6a8ca5b36.edm" hidden="1">#REF!</definedName>
    <definedName name="_bdm.BB7F212D0D9D4770BC65A1D31FBC12B3.edm" hidden="1">#REF!</definedName>
    <definedName name="_bdm.bd9a945929f6414bb5e36b9682326fbb.edm" hidden="1">#REF!</definedName>
    <definedName name="_bdm.be46dd77280a4183b6ece2218cd9b68b.edm" hidden="1">#REF!</definedName>
    <definedName name="_bdm.BFB2303463084596B58FFD9A36A7F01F.edm" hidden="1">#REF!</definedName>
    <definedName name="_bdm.c0c40809ffc34268a5dcffabbc4ae6ad.edm" hidden="1">#REF!</definedName>
    <definedName name="_bdm.c12812367e5f411f8aab852dcb0cbb61.edm" hidden="1">#REF!</definedName>
    <definedName name="_bdm.c364d4c2fa0d4c48900b60df3abc8154.edm" hidden="1">#REF!</definedName>
    <definedName name="_bdm.c36bb86fa33b492db3bd0472c02184c5.edm" hidden="1">#REF!</definedName>
    <definedName name="_bdm.c91ab890547b42309d014ac1dc6342dd.edm" hidden="1">#REF!</definedName>
    <definedName name="_bdm.ca78232132d045229657a2e6da7b86d9.edm" hidden="1">#REF!</definedName>
    <definedName name="_bdm.cb90906d38e84b7f8134ad1190703e22.edm" hidden="1">#REF!</definedName>
    <definedName name="_bdm.cce4a20c2048406c83744aa4bad8c6c2.edm" hidden="1">#REF!</definedName>
    <definedName name="_bdm.CECDD7CB7A09430EA1F498A5A3993152.edm" hidden="1">#REF!</definedName>
    <definedName name="_bdm.d097ba984ad94b27bd967241513f4e69.edm" hidden="1">#REF!</definedName>
    <definedName name="_bdm.d0ac830b5a0547e0b746e08503563e64.edm" hidden="1">#REF!</definedName>
    <definedName name="_bdm.D17EA099031C443B89E6C979CDDF3D48.edm" hidden="1">#REF!</definedName>
    <definedName name="_bdm.D39ED324460A4919983487645D644B9D.edm" hidden="1">#REF!</definedName>
    <definedName name="_bdm.d44c64feab584e638a795ddaadf03178.edm" hidden="1">#REF!</definedName>
    <definedName name="_bdm.d732f113c5b84c0a9481d954959c37e3.edm" hidden="1">#REF!</definedName>
    <definedName name="_bdm.D96858F302744E2CBA10106AED3868AC.edm" hidden="1">#REF!</definedName>
    <definedName name="_bdm.da50c0f67d9546639210b117f9e5f6f2.edm" hidden="1">#REF!</definedName>
    <definedName name="_bdm.db99592f770543e8be899938ca7a9494.edm" hidden="1">#REF!</definedName>
    <definedName name="_bdm.dc0ceb03595a40c6a44ab768c84720ab.edm" hidden="1">#REF!</definedName>
    <definedName name="_bdm.e0aecad9bacc479084373e0167599718.edm" hidden="1">#REF!</definedName>
    <definedName name="_bdm.e0f5300a35af47e79245f23c99e229ec.edm" hidden="1">#REF!</definedName>
    <definedName name="_bdm.e223c4ac67ae4a10af89d61345f92faf.edm" hidden="1">#REF!</definedName>
    <definedName name="_bdm.E2DE704F545044DBA1F220584FF0BA6E.edm" hidden="1">#REF!</definedName>
    <definedName name="_bdm.e4231d6130774b2aabf527e8408839fb.edm" hidden="1">#REF!</definedName>
    <definedName name="_bdm.e4a789daa9e64f5288968fbffe5d87b2.edm" hidden="1">#REF!</definedName>
    <definedName name="_bdm.e551d64c89d04435a31194f040ea301e.edm" hidden="1">#REF!</definedName>
    <definedName name="_bdm.e5c2d6b5044343828b8d4be1b0a6608a.edm" hidden="1">#REF!</definedName>
    <definedName name="_bdm.e61fa66afef343fd89f5af71d54ffef9.edm" hidden="1">#REF!</definedName>
    <definedName name="_bdm.e6efdce3043e4b2c86d7133053f174e7.edm" hidden="1">#REF!</definedName>
    <definedName name="_bdm.e832227c10b54a50b5577566e40cb33c.edm" hidden="1">#REF!</definedName>
    <definedName name="_bdm.e8d731089c854485bb333895b95ceb15.edm" hidden="1">#REF!</definedName>
    <definedName name="_bdm.E8EEC1CE2D55458185161D521AF88FCE.edm" hidden="1">#REF!</definedName>
    <definedName name="_bdm.E9D1D6F0D15A48E0A7C10FEB13081CE7.edm" hidden="1">#REF!</definedName>
    <definedName name="_bdm.E9F20B094B5C432380706435C3F317BD.edm" hidden="1">#REF!</definedName>
    <definedName name="_bdm.EA870B5264F94FBE89EA90292A61304E.edm" hidden="1">#REF!</definedName>
    <definedName name="_bdm.ebd7d4041a064bef95ee1bcd7bb39b18.edm" hidden="1">#REF!</definedName>
    <definedName name="_bdm.ed34a6fcb62246159ce5e9f885ffc415.edm" hidden="1">#REF!</definedName>
    <definedName name="_bdm.EDDDE303DB6042A7A2AFAF04708371B2.edm" hidden="1">#REF!</definedName>
    <definedName name="_bdm.ef47872567a640b29d9ed484a256e121.edm" hidden="1">#REF!</definedName>
    <definedName name="_bdm.EF6677EE4C964AA1A772DC20421CAC95.edm" hidden="1">#REF!</definedName>
    <definedName name="_bdm.F17CC758ADBC4F7AB39097771E7085F1.edm" hidden="1">#REF!</definedName>
    <definedName name="_bdm.f528538a9b464e9bbca7b6440f7b8485.edm" hidden="1">#REF!</definedName>
    <definedName name="_bdm.f72b533628ce46d295cb1a3c14e8eb21.edm" hidden="1">#REF!</definedName>
    <definedName name="_bdm.F801C78F06134DBDA3240FC7D7B01019.edm" hidden="1">#REF!</definedName>
    <definedName name="_bdm.F9C5C6F8F39E47FABE65D2F9B40626CE.edm" hidden="1">#REF!</definedName>
    <definedName name="_bdm.FastTrackBookmark.3_20_2019_3_10_35_PM.edm" hidden="1">#REF!</definedName>
    <definedName name="_bdm.FastTrackBookmark.7_30_2019_5_03_14_PM.edm" hidden="1">#REF!</definedName>
    <definedName name="_bdm.fd238ed62e6b47aa8a2ea99927f0eb02.edm" hidden="1">#REF!</definedName>
    <definedName name="_bdm.fd39d64039d04c48b2b5f612960da89e.edm" hidden="1">#REF!</definedName>
    <definedName name="_bdm.fd3eefc6219148678d44e1c819eb3ee9.edm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T_from_SGMO" hidden="1">{"fdsup://IBCentral/FAT Viewer?action=UPDATE&amp;creator=factset&amp;DOC_NAME=fat:reuters_annual_source_window.fat&amp;display_string=Audit&amp;DYN_ARGS=TRUE&amp;VAR:ID1=47816010&amp;VAR:RCODE=SALES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BU4" hidden="1">{"Page 1",#N/A,TRUE,"Sheet1";"Page 2",#N/A,TRUE,"Sheet1"}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GSRATES_1" hidden="1">"CT30000120010801        "</definedName>
    <definedName name="_GSRATES_10" hidden="1">"CT30000120010930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2" hidden="1">"CT30000120010822        "</definedName>
    <definedName name="_GSRATES_3" hidden="1">"CT30000120010427        "</definedName>
    <definedName name="_GSRATES_4" hidden="1">"CT30000120011018        "</definedName>
    <definedName name="_GSRATES_5" hidden="1">"CT30000120010917        "</definedName>
    <definedName name="_GSRATES_6" hidden="1">"CT30000120011018        "</definedName>
    <definedName name="_GSRATES_7" hidden="1">"CF3000012001093020000930"</definedName>
    <definedName name="_GSRATES_8" hidden="1">"CT30000120010930        "</definedName>
    <definedName name="_GSRATES_9" hidden="1">"CF3000012001093020010101"</definedName>
    <definedName name="_GSRATES_COUNT" hidden="1">14</definedName>
    <definedName name="_GSRATES_COUNT1" hidden="1">13</definedName>
    <definedName name="_GWL2" localSheetId="0" hidden="1">{#N/A,#N/A,FALSE,"Performance_Products_Sold"}</definedName>
    <definedName name="_GWL2" hidden="1">{#N/A,#N/A,FALSE,"Performance_Products_Sold"}</definedName>
    <definedName name="_Key1" hidden="1">#REF!</definedName>
    <definedName name="_Key1OLD" hidden="1">#REF!</definedName>
    <definedName name="_Key2" hidden="1">#REF!</definedName>
    <definedName name="_Keyn" hidden="1">#REF!</definedName>
    <definedName name="_LE1" hidden="1">#REF!</definedName>
    <definedName name="_Max1" hidden="1">#REF!</definedName>
    <definedName name="_Max2" hidden="1">#REF!</definedName>
    <definedName name="_MC2" localSheetId="0" hidden="1">{"Purchase 100 Cash",#N/A,FALSE,"Deal 1";#N/A,#N/A,FALSE,"Deal 1b"}</definedName>
    <definedName name="_MC2" hidden="1">{"Purchase 100 Cash",#N/A,FALSE,"Deal 1";#N/A,#N/A,FALSE,"Deal 1b"}</definedName>
    <definedName name="_Min1" hidden="1">#REF!</definedName>
    <definedName name="_Min2" hidden="1">#REF!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old1" hidden="1">#REF!</definedName>
    <definedName name="_Order1" hidden="1">255</definedName>
    <definedName name="_Order2" hidden="1">255</definedName>
    <definedName name="_Q1" hidden="1">{"'Standalone List Price Trends'!$A$1:$X$56"}</definedName>
    <definedName name="_Q2" hidden="1">{"'Standalone List Price Trends'!$A$1:$X$56"}</definedName>
    <definedName name="_Q3" hidden="1">{"'Standalone List Price Trends'!$A$1:$X$56"}</definedName>
    <definedName name="_Q4" hidden="1">{"'Standalone List Price Trends'!$A$1:$X$56"}</definedName>
    <definedName name="_Q5" hidden="1">{"'Standalone List Price Trends'!$A$1:$X$56"}</definedName>
    <definedName name="_Q9" hidden="1">{"'Standalone List Price Trends'!$A$1:$X$56"}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IV0099cd9ae30b49fe8928551b3c496c4a" hidden="1">#REF!</definedName>
    <definedName name="_RIV00a8100f5fe5431d8a60eb779fe677e7" hidden="1">#REF!</definedName>
    <definedName name="_RIV0124027f8edb431990b99e0fd846bc58" hidden="1">#REF!</definedName>
    <definedName name="_RIV01277a523d91425bbf8a6ab4d5afb330" hidden="1">#REF!</definedName>
    <definedName name="_RIV0183cfb1753245509fccd90a614a8a10" hidden="1">#REF!</definedName>
    <definedName name="_RIV0218d8273d534af0ba6c9389a615f07f" hidden="1">#REF!</definedName>
    <definedName name="_RIV027d025792b64b9492d20afb1f85b151" hidden="1">#REF!</definedName>
    <definedName name="_RIV0285808e03cf4745a99e0f7b9b8d1792" hidden="1">#REF!</definedName>
    <definedName name="_RIV02da46895af34e02bd06427ba682d9a1" hidden="1">#REF!</definedName>
    <definedName name="_RIV02e74aa1cfee4bd280d5b6549d7a683c" hidden="1">#REF!</definedName>
    <definedName name="_RIV03536ab8464a49038c6ad73e96bec9f0" hidden="1">#REF!</definedName>
    <definedName name="_RIV03585f27b1224252a600906cd35b9772" hidden="1">#REF!</definedName>
    <definedName name="_RIV0376fa9bc2a44998ae4bc5661e0a319f" hidden="1">#REF!</definedName>
    <definedName name="_RIV03d40101e9d44a0aa956ecb8b4c674f0" hidden="1">#REF!</definedName>
    <definedName name="_RIV04075c1ad4e04b689c402c05d913fda4" hidden="1">#REF!</definedName>
    <definedName name="_RIV04812fa3a45d4e9ea1d8567dfc47cc6b" hidden="1">#REF!</definedName>
    <definedName name="_RIV049c416b991c4df0adcd7630c67d6be6" hidden="1">#REF!</definedName>
    <definedName name="_RIV04b5a5855659462fbb06f24d5af87154" hidden="1">#REF!</definedName>
    <definedName name="_RIV050e05c8cc6a49d1aee8fe655c103c65" hidden="1">#REF!</definedName>
    <definedName name="_RIV0531daacb9024d3681e94aa78064dd60" hidden="1">#REF!</definedName>
    <definedName name="_RIV05ce71959bcd46949f7a375e1b0813d4" hidden="1">#REF!</definedName>
    <definedName name="_RIV05e5d45176fd4641b23d7e61d133e519" hidden="1">#REF!</definedName>
    <definedName name="_RIV063827ac42da4879b57474197caed2e8" hidden="1">#REF!</definedName>
    <definedName name="_RIV063f1cbc95284b249aec4fbf38edd476" hidden="1">#REF!</definedName>
    <definedName name="_RIV069afdd3e881456baca547c29ae80e93" hidden="1">#REF!</definedName>
    <definedName name="_RIV06c8f99b21ed4801a907da2bdd288a1a" hidden="1">#REF!</definedName>
    <definedName name="_RIV07469a12897c462abcfb6c007907825b" hidden="1">#REF!</definedName>
    <definedName name="_RIV07724a04789b45198bb24f708441e997" hidden="1">#REF!</definedName>
    <definedName name="_RIV0776ea3438714629877021346152eda7" hidden="1">#REF!</definedName>
    <definedName name="_RIV078e27ee6dbd4167820fda45ecc93909" hidden="1">#REF!</definedName>
    <definedName name="_RIV07983da9485d4f3e82c0152017205b5c" hidden="1">#REF!</definedName>
    <definedName name="_RIV083140d24eee43d387241ac0e6609bb6" hidden="1">#REF!</definedName>
    <definedName name="_RIV086beb53591542d683b5524a2daaf08a" hidden="1">#REF!</definedName>
    <definedName name="_RIV08a4c5ffea7f4e229c9279688e3f8da4" hidden="1">#REF!</definedName>
    <definedName name="_RIV08ed56bbc13c4dc288d0ee4fab440001" hidden="1">#REF!</definedName>
    <definedName name="_RIV0908df57cbcd4ff0ad4f2bc13d888ac9" hidden="1">#REF!</definedName>
    <definedName name="_RIV0908ff6e41444cc8b202c8e6591d4cf8" hidden="1">#REF!</definedName>
    <definedName name="_RIV0941d93aa4984008999189e1f6d9542c" hidden="1">#REF!</definedName>
    <definedName name="_RIV094c82034d1247dfb63235e8f510bad9" hidden="1">#REF!</definedName>
    <definedName name="_RIV096913b2871e4f068d9737212ee5da85" hidden="1">#REF!</definedName>
    <definedName name="_RIV09896385443b434483f64d01c2007a0a" hidden="1">#REF!</definedName>
    <definedName name="_RIV099206eaa966486a95a96723f983d3b7" hidden="1">#REF!</definedName>
    <definedName name="_RIV09e6ffaa6efd4338a392dfd2dfb8cf35" hidden="1">#REF!</definedName>
    <definedName name="_RIV0a10de992bd54444befbb7c66140d34e" hidden="1">#REF!</definedName>
    <definedName name="_RIV0a2123b7a8bf44aa91911e34a0a4471d" hidden="1">#REF!</definedName>
    <definedName name="_RIV0a490ce086c145b397a5238065c9f015" hidden="1">#REF!</definedName>
    <definedName name="_RIV0a55558285e44df590d40d550bac2fc6" hidden="1">#REF!</definedName>
    <definedName name="_RIV0aac69a8d8e2492885139430dcf6f06c" hidden="1">#REF!</definedName>
    <definedName name="_RIV0ab747980ed84e1eaccba0e70ae7a25d" hidden="1">#REF!</definedName>
    <definedName name="_RIV0ad28b2adbc543eea7e0d4f375e7c347" hidden="1">#REF!</definedName>
    <definedName name="_RIV0ad507a24a1a415caa56b737c2441ae6" hidden="1">#REF!</definedName>
    <definedName name="_RIV0b0993e194084051a2d45e5f020d15e1" hidden="1">#REF!</definedName>
    <definedName name="_RIV0bcb4f974e514825903d8d73580ff903" hidden="1">#REF!</definedName>
    <definedName name="_RIV0bdc5f34d6ab4c58a99d258d60ec67c2" hidden="1">#REF!</definedName>
    <definedName name="_RIV0be3736b7c3846cbaca3dcae1ea860f6" hidden="1">#REF!</definedName>
    <definedName name="_RIV0be95c686c15400d8682ba3f1a17337c" hidden="1">#REF!</definedName>
    <definedName name="_RIV0be976d8f50b44b0add872b6c93e95dc" hidden="1">#REF!</definedName>
    <definedName name="_RIV0c66411204e64d4da48d6a86678b3d2d" hidden="1">#REF!</definedName>
    <definedName name="_RIV0c6b41476f214aa4aec3ebcc21059883" hidden="1">#REF!</definedName>
    <definedName name="_RIV0ca0415e53aa46faacbb9adf73fe8f35" hidden="1">#REF!</definedName>
    <definedName name="_RIV0cadb7c0d9fc47378d64a65903c37398" hidden="1">#REF!</definedName>
    <definedName name="_RIV0cf2002a051e4a8cafc0ba486fea4190" hidden="1">#REF!</definedName>
    <definedName name="_RIV0d01cad308114f9aa8be1da248b2d6fc" hidden="1">#REF!</definedName>
    <definedName name="_RIV0d58828b091445c3a5171ddac8163b74" hidden="1">#REF!</definedName>
    <definedName name="_RIV0dab516a9eef42ce8aa273ac677d4d22" hidden="1">#REF!</definedName>
    <definedName name="_RIV0db02e2aeb3e4ed88156aa12649c34c3" hidden="1">#REF!</definedName>
    <definedName name="_RIV0dbe2d0505d64e73ab728e731f373997" hidden="1">#REF!</definedName>
    <definedName name="_RIV0f5f3dd499384a28b69c9f2f702e9d16" hidden="1">#REF!</definedName>
    <definedName name="_RIV0f90bced78164c1e99dc3bd73d0bba47" hidden="1">#REF!</definedName>
    <definedName name="_RIV0fa8c5c3ba0b450280f8feef10a0a99b" hidden="1">#REF!</definedName>
    <definedName name="_RIV0fc91b9ba202467989e6ce570d659da9" hidden="1">#REF!</definedName>
    <definedName name="_RIV0fe11eee24b74f63a63cd8b7e90002af" hidden="1">#REF!</definedName>
    <definedName name="_RIV10257d88e8ad4673900af015a07f8cb4" hidden="1">#REF!</definedName>
    <definedName name="_RIV1073c77ef26b4abbb77ad80a5d0f6d5d" hidden="1">#REF!</definedName>
    <definedName name="_RIV107da6afce184cfbad33f4156f18f45a" hidden="1">#REF!</definedName>
    <definedName name="_RIV107ee6de241f4666aea6afc0f27094bf" hidden="1">#REF!</definedName>
    <definedName name="_RIV109925ffa9da45edaa90e8ffd0c2a8e0" hidden="1">#REF!</definedName>
    <definedName name="_RIV10b0302d53f8485d96846ef048bead92" hidden="1">#REF!</definedName>
    <definedName name="_RIV10cbc7af1bc744a39dac40e3ef4082da" hidden="1">#REF!</definedName>
    <definedName name="_RIV10fedb5e7fd14589b11a55fc8e3a3955" hidden="1">#REF!</definedName>
    <definedName name="_RIV115560a5c4f04af3a83a09a24152413c" hidden="1">#REF!</definedName>
    <definedName name="_RIV11dda24585c444798ba7d34572be13f3" hidden="1">#REF!</definedName>
    <definedName name="_RIV11ecab15f3254ff08a2d4e761419eb14" hidden="1">#REF!</definedName>
    <definedName name="_RIV11f8b1b19e6149908c1227e1afd36f39" hidden="1">#REF!</definedName>
    <definedName name="_RIV120ce45d81a14a678734a0c42488f1a7" hidden="1">#REF!</definedName>
    <definedName name="_RIV1286c730af1f42b3a74d3c84add48a50" hidden="1">#REF!</definedName>
    <definedName name="_RIV12ac332db08040bd9c61edc854380928" hidden="1">#REF!</definedName>
    <definedName name="_RIV12b7ec761d2f43c59ba3b0a28d9ea354" hidden="1">#REF!</definedName>
    <definedName name="_RIV1390fbbfb8b0430991b80a95e4b78d46" hidden="1">#REF!</definedName>
    <definedName name="_RIV13a0d99721f846e496f8fd9c9113cd61" hidden="1">#REF!</definedName>
    <definedName name="_RIV13cc856bb24c44f3bdd6444b9f12e98f" hidden="1">#REF!</definedName>
    <definedName name="_RIV13fec54bca7b4ba8b10fbf6a1c3fbc2e" hidden="1">#REF!</definedName>
    <definedName name="_RIV143973fdb3b44735a04bc0c5472f8a63" hidden="1">#REF!</definedName>
    <definedName name="_RIV14b60876187f4b0fbc2d982038e5dc7b" hidden="1">#REF!</definedName>
    <definedName name="_RIV14bea6f7dda74e0993754bbe1ea3bec6" hidden="1">#REF!</definedName>
    <definedName name="_RIV14cb0721163b4f7babce053d2cf53909" hidden="1">#REF!</definedName>
    <definedName name="_RIV14dadc62cf924a7796c6c43a38994787" hidden="1">#REF!</definedName>
    <definedName name="_RIV14ed707f81ab4749aa3a6c3b20d0dfa6" hidden="1">#REF!</definedName>
    <definedName name="_RIV1533ad2b81a445b0b1b7b15349e84103" hidden="1">#REF!</definedName>
    <definedName name="_RIV155d8f7f0fb1438e9b7490aa97132117" hidden="1">#REF!</definedName>
    <definedName name="_RIV15afb28a22ce4beaa12e95c97730bd5b" hidden="1">#REF!</definedName>
    <definedName name="_RIV15c817293ed3416e808fd6312180a21f" hidden="1">#REF!</definedName>
    <definedName name="_RIV161fc4e2403a4766af2851a64c7066f0" hidden="1">#REF!</definedName>
    <definedName name="_RIV16355d7b4bb24638ad41a97c7e7507fa" hidden="1">#REF!</definedName>
    <definedName name="_RIV169228335f8f4d9ea5d334c2fb842035" hidden="1">#REF!</definedName>
    <definedName name="_RIV169cb98ba37149e288daa16bde9463d8" hidden="1">#REF!</definedName>
    <definedName name="_RIV1716d144a3004da89e69914f056c1bf8" hidden="1">#REF!</definedName>
    <definedName name="_RIV171cecf064364cda83c8251e1b858a77" hidden="1">#REF!</definedName>
    <definedName name="_RIV1779ca746538432da5ceec7892783f3c" hidden="1">#REF!</definedName>
    <definedName name="_RIV1886b413599540b491c6e9a3ef6593bc" hidden="1">#REF!</definedName>
    <definedName name="_RIV18874fda7eab475eba600f0c9632a4e0" hidden="1">#REF!</definedName>
    <definedName name="_RIV18c843b7555342dfae91e1ce635bac43" hidden="1">#REF!</definedName>
    <definedName name="_RIV18d0744181cb4de481ecf9854e3e8add" hidden="1">#REF!</definedName>
    <definedName name="_RIV18d2df2c413a4410a07db1b10ef0e0ba" hidden="1">#REF!</definedName>
    <definedName name="_RIV18d396b05a1f4d98a81d7c83b36fcdab" hidden="1">#REF!</definedName>
    <definedName name="_RIV18f615639b8047bc9ac03a84039175c2" hidden="1">#REF!</definedName>
    <definedName name="_RIV18fcbe48af77423195a88c7e217b68ea" hidden="1">#REF!</definedName>
    <definedName name="_RIV192f69717f9c4e04b6a89950e14e7ada" hidden="1">#REF!</definedName>
    <definedName name="_RIV19680354cf7a46b6adf7ce9af41f7476" hidden="1">#REF!</definedName>
    <definedName name="_RIV199ad181a5284f859304f453257196a3" hidden="1">#REF!</definedName>
    <definedName name="_RIV19b42bbd009d431b91cfa8795c5c7c33" hidden="1">#REF!</definedName>
    <definedName name="_RIV19f413a834dd41eeb32794e65ced9e04" hidden="1">#REF!</definedName>
    <definedName name="_RIV1a96ddd03edc4dd49008df265ba15fa9" hidden="1">#REF!</definedName>
    <definedName name="_RIV1b091ccc6ec4464f8479b09949391480" hidden="1">#REF!</definedName>
    <definedName name="_RIV1b2140e105b74f5f92507e11b71c056a" hidden="1">#REF!</definedName>
    <definedName name="_RIV1b7c62700098485eac3c762cdfc61b85" hidden="1">#REF!</definedName>
    <definedName name="_RIV1b7d054d3e3c4d0c81d6b7836371fe7a" hidden="1">#REF!</definedName>
    <definedName name="_RIV1b97f58ff1fd49979c0f2debf7c2b857" hidden="1">#REF!</definedName>
    <definedName name="_RIV1bccbd7bdb0a4d18b868c0c953235e32" hidden="1">#REF!</definedName>
    <definedName name="_RIV1c57dc087b7543d1820b17e7399664c1" hidden="1">#REF!</definedName>
    <definedName name="_RIV1ca680d0a2c24f9785ab3df736472476" hidden="1">#REF!</definedName>
    <definedName name="_RIV1cb27b99929148b6b32652fec1fa9d96" hidden="1">#REF!</definedName>
    <definedName name="_RIV1cbfd170f74347f78efe08cc1f2147eb" hidden="1">#REF!</definedName>
    <definedName name="_RIV1cf15847470e400a97f4676d03698f05" hidden="1">#REF!</definedName>
    <definedName name="_RIV1d07f5aae29248118dd6bd054f5aa2d7" hidden="1">#REF!</definedName>
    <definedName name="_RIV1d0b0d27f6fe4c188931fa99ba0c1990" hidden="1">#REF!</definedName>
    <definedName name="_RIV1d37b1176cc04218ad76df01aac7ec92" hidden="1">#REF!</definedName>
    <definedName name="_RIV1d3ec03ffa364a8c867b3463f0586309" hidden="1">#REF!</definedName>
    <definedName name="_RIV1daa2555ed3a4deba90584f6f3196552" hidden="1">#REF!</definedName>
    <definedName name="_RIV1df6313ae29649e8b6be3b25648b050e" hidden="1">#REF!</definedName>
    <definedName name="_RIV1df912018be64b68b0677728da7c5fd7" hidden="1">#REF!</definedName>
    <definedName name="_RIV1e05bb6dcdcd48619688efbfa58055d4" hidden="1">#REF!</definedName>
    <definedName name="_RIV1e0d3831d5db4eb08ae4a537513816f4" hidden="1">#REF!</definedName>
    <definedName name="_RIV1e214911658d430f867d88afa409be0c" hidden="1">#REF!</definedName>
    <definedName name="_RIV1eb29210372a484db9f7afa86e986e84" hidden="1">#REF!</definedName>
    <definedName name="_RIV1efbada64ef749749ffc5c76ae84dcc6" hidden="1">#REF!</definedName>
    <definedName name="_RIV1f0cec8931ce4a8fa07ad314e0ce1b77" hidden="1">#REF!</definedName>
    <definedName name="_RIV1f4f67c5077a47929667542e535a8932" hidden="1">#REF!</definedName>
    <definedName name="_RIV1f57ca3684f240cf80813c9227aff54e" hidden="1">#REF!</definedName>
    <definedName name="_RIV1ffaf06a8b69414ab44151ddbe8c923e" hidden="1">#REF!</definedName>
    <definedName name="_RIV201927d520ec4da68a22015c617b0beb" hidden="1">#REF!</definedName>
    <definedName name="_RIV20aac39eaf9641cbba8a5fa308f828d1" hidden="1">#REF!</definedName>
    <definedName name="_RIV20c51cc94de74d5bb676d8ed5457430c" hidden="1">#REF!</definedName>
    <definedName name="_RIV20ff28ffc7994a6da2d74428e347e9da" hidden="1">#REF!</definedName>
    <definedName name="_RIV219216b79dbd4ba3ba11fc99d51d811b" hidden="1">#REF!</definedName>
    <definedName name="_RIV21e42dfa9ef44c66a15459414e16a7ad" hidden="1">#REF!</definedName>
    <definedName name="_RIV21eb758349f44213933324dfa3987edc" hidden="1">#REF!</definedName>
    <definedName name="_RIV22065489c3a74bc381c4d3c5121e4458" hidden="1">#REF!</definedName>
    <definedName name="_RIV220c72f311044eaeadc05d32561d1613" hidden="1">#REF!</definedName>
    <definedName name="_RIV229fbedb5bee4f25a7b5d872c9168446" hidden="1">#REF!</definedName>
    <definedName name="_RIV2345ccbad36441cd9e5ff1daeff70a2b" hidden="1">#REF!</definedName>
    <definedName name="_RIV23e87556418a4f52a9af038635d7fb1f" hidden="1">#REF!</definedName>
    <definedName name="_RIV242fe9ab39674eb0afe07ff40d24239c" hidden="1">#REF!</definedName>
    <definedName name="_RIV244754b3a9a244f58ab3b0fffe108206" hidden="1">#REF!</definedName>
    <definedName name="_RIV247d30b0efbc439f8f1bab692f870eb0" hidden="1">#REF!</definedName>
    <definedName name="_RIV24a754d7fa3242589be226a23b303ab1" hidden="1">#REF!</definedName>
    <definedName name="_RIV24b07f47ab964db49d02627b0e45ac2d" hidden="1">#REF!</definedName>
    <definedName name="_RIV24beb99f8462463d8b0cf9e27938880b" hidden="1">#REF!</definedName>
    <definedName name="_RIV24d70fbacff548399aabc50dafefac07" hidden="1">#REF!</definedName>
    <definedName name="_RIV24dc073e751f45e78c5e4da939e6a5cf" hidden="1">#REF!</definedName>
    <definedName name="_RIV2500550899214c4dbccf5b268a713e36" hidden="1">#REF!</definedName>
    <definedName name="_RIV25561ed6920b4270a0686cbb0aa8e7de" hidden="1">#REF!</definedName>
    <definedName name="_RIV2579a36032f5437199286bc6b4631024" hidden="1">#REF!</definedName>
    <definedName name="_RIV25a44eafcbf84232857200031c6d560e" hidden="1">#REF!</definedName>
    <definedName name="_RIV25bbb9b39a2c4a99bc2376d60962e7be" hidden="1">#REF!</definedName>
    <definedName name="_RIV26220452bc0d4091a770dcbd5b171ca2" hidden="1">#REF!</definedName>
    <definedName name="_RIV266413c029364212917b0a431ee5dba9" hidden="1">#REF!</definedName>
    <definedName name="_RIV26674c02ac4144db8f3cb85d39b43924" hidden="1">#REF!</definedName>
    <definedName name="_RIV273890d57804458d91233ec15e6eb112" hidden="1">#REF!</definedName>
    <definedName name="_RIV27c3e660007046a984d910bc2df9983e" hidden="1">#REF!</definedName>
    <definedName name="_RIV27d81deb3d4d44e0819aa134e948ec53" hidden="1">#REF!</definedName>
    <definedName name="_RIV28a9b7c58540431a9c7d5b31fd295bdd" hidden="1">#REF!</definedName>
    <definedName name="_RIV296b9db0e437481f931b621dd4405e9b" hidden="1">#REF!</definedName>
    <definedName name="_RIV2989df13c7d64343a3fb00f8932cdb5b" hidden="1">#REF!</definedName>
    <definedName name="_RIV29b3f647a2f642f7bf511427183193da" hidden="1">#REF!</definedName>
    <definedName name="_RIV2a52e24160e44ee48fe66bac32bc76f1" hidden="1">#REF!</definedName>
    <definedName name="_RIV2a67d90d07ba4a719baed80d6d101532" hidden="1">#REF!</definedName>
    <definedName name="_RIV2aa7e86fbba94dd08c3eff4672c3f6b3" hidden="1">#REF!</definedName>
    <definedName name="_RIV2ae12901d75f45268e23e7a5939e340c" hidden="1">#REF!</definedName>
    <definedName name="_RIV2b3dc0050e134fd7b20b52e383c70254" hidden="1">#REF!</definedName>
    <definedName name="_RIV2b8f0ae311d540b589fcc822f26e816e" hidden="1">#REF!</definedName>
    <definedName name="_RIV2ba968c2c189462db0857c69c28b5b19" hidden="1">#REF!</definedName>
    <definedName name="_RIV2bbdf1b681ff4dbb85c27281c204a392" hidden="1">#REF!</definedName>
    <definedName name="_RIV2c045fd510a04697b95de1111ad83135" hidden="1">#REF!</definedName>
    <definedName name="_RIV2c4c124c50ac4a20b5e55ea45ff41f4a" hidden="1">#REF!</definedName>
    <definedName name="_RIV2c51688d72f64724b243313760121d71" hidden="1">#REF!</definedName>
    <definedName name="_RIV2c864ee077a74050bb73305d897fa9cf" hidden="1">#REF!</definedName>
    <definedName name="_RIV2ca0245ea4a645ca91be40f2bc7837b2" hidden="1">#REF!</definedName>
    <definedName name="_RIV2cafe69301e347e78f0561b6f1d72beb" hidden="1">#REF!</definedName>
    <definedName name="_RIV2ccd0b6a3ca14457afef2b281241e6c5" hidden="1">#REF!</definedName>
    <definedName name="_RIV2ce2a4b2f34d4bd3bd02f94dfe5234c0" hidden="1">#REF!</definedName>
    <definedName name="_RIV2d02f38c262349be9695e41f68ac74db" hidden="1">#REF!</definedName>
    <definedName name="_RIV2d06cf869b2f45d0893165ea90affaef" hidden="1">#REF!</definedName>
    <definedName name="_RIV2d287a54c325452280281f99cd5a2d9d" hidden="1">#REF!</definedName>
    <definedName name="_RIV2d3254c48baa47a6a0ef89d0e1f6a883" hidden="1">#REF!</definedName>
    <definedName name="_RIV2d63041979784757b7c84890ab410c7a" hidden="1">#REF!</definedName>
    <definedName name="_RIV2d71a1ac85924a8ba763520ccc943992" hidden="1">#REF!</definedName>
    <definedName name="_RIV2d958f008b784471afbeff0bec131410" hidden="1">#REF!</definedName>
    <definedName name="_RIV2d9eb6cda4594f80a9b4bc344695a165" hidden="1">#REF!</definedName>
    <definedName name="_RIV2e06b4d084524fbe99eaf2b960563cde" hidden="1">#REF!</definedName>
    <definedName name="_RIV2e360ec772e14213a3db74ad23431631" hidden="1">#REF!</definedName>
    <definedName name="_RIV2e7162be9b47435887a5477c228b4d5b" hidden="1">#REF!</definedName>
    <definedName name="_RIV2eb68cb5962743e68dfa983ae2634045" hidden="1">#REF!</definedName>
    <definedName name="_RIV2f1ec38b5f5e4991950ef330d6b8e538" hidden="1">#REF!</definedName>
    <definedName name="_RIV2f7e0eba09b44c12877a1e77931619d8" hidden="1">#REF!</definedName>
    <definedName name="_RIV2f8abc16beb44a9aa52f04f351755548" hidden="1">#REF!</definedName>
    <definedName name="_RIV2fbda88b3c6c4b22a3292e2352491e4d" hidden="1">#REF!</definedName>
    <definedName name="_RIV2fd16289d31542c890f8008245669944" hidden="1">#REF!</definedName>
    <definedName name="_RIV2fd1d5f0a1a84c53b917ee26a8e12113" hidden="1">#REF!</definedName>
    <definedName name="_RIV309b55a1d9b945a7839b3b551654ef8c" hidden="1">#REF!</definedName>
    <definedName name="_RIV3115b1fa198745999c77fd7b2552d61a" hidden="1">#REF!</definedName>
    <definedName name="_RIV31a3b5fc20ff4637bcc30571dc0398a9" hidden="1">#REF!</definedName>
    <definedName name="_RIV321b430d620c4837b07e033e84aaaa4b" hidden="1">#REF!</definedName>
    <definedName name="_RIV3228d5ac0c6947e7a89229ee726b5220" hidden="1">#REF!</definedName>
    <definedName name="_RIV322d78730ea14398a9d9fda3c28bde76" hidden="1">#REF!</definedName>
    <definedName name="_RIV323d820316bf45d5b4e4104b9e41a5af" hidden="1">#REF!</definedName>
    <definedName name="_RIV328f73788f7240c2a141702c7f5b1d0b" hidden="1">#REF!</definedName>
    <definedName name="_RIV32f351c755034ca6a34091c6692475b5" hidden="1">#REF!</definedName>
    <definedName name="_RIV33557977c0b7407ebb82f8389955b603" hidden="1">#REF!</definedName>
    <definedName name="_RIV338eca8ad953494f9c9eefe59ef352c1" hidden="1">#REF!</definedName>
    <definedName name="_RIV33d05e2f3e5b4504bd641aac840d1faa" hidden="1">#REF!</definedName>
    <definedName name="_RIV33ea17a8a4ae4c0784d8bfa80ea7ae9b" hidden="1">#REF!</definedName>
    <definedName name="_RIV34501e69297c4b698567ac7e5017fa57" hidden="1">#REF!</definedName>
    <definedName name="_RIV3462a3aea0e24359860800cea16b7127" hidden="1">#REF!</definedName>
    <definedName name="_RIV34820176d85f4c58a22ed259ef323d11" hidden="1">#REF!</definedName>
    <definedName name="_RIV34ad84fb190e455592f652a6d98b38ce" hidden="1">#REF!</definedName>
    <definedName name="_RIV34b42bafc959438aa889e4e33baf2234" hidden="1">#REF!</definedName>
    <definedName name="_RIV34e4994c5eff4c5a9257e9a8ef94a5c1" hidden="1">#REF!</definedName>
    <definedName name="_RIV34fe8b87c7f749529fb5a872564c28c7" hidden="1">#REF!</definedName>
    <definedName name="_RIV3509afdaeb664daf9e53eece713cf7f2" hidden="1">#REF!</definedName>
    <definedName name="_RIV3530b38c8aca430cb14d08a90e32f67f" hidden="1">#REF!</definedName>
    <definedName name="_RIV355de4d7d85c4cc68ff7a84444ee2780" hidden="1">#REF!</definedName>
    <definedName name="_RIV3616de1aa8dd405e8ed75b01f77e1807" hidden="1">#REF!</definedName>
    <definedName name="_RIV3626e9ad2e4f42ed97f95c0bc835a28a" hidden="1">#REF!</definedName>
    <definedName name="_RIV364d7144fded46dfa2befefe0ab5cd86" hidden="1">#REF!</definedName>
    <definedName name="_RIV3660cc60e5b5480e80715c62700a69b4" hidden="1">#REF!</definedName>
    <definedName name="_RIV3663a6a0d75a4531a149321403dedb69" hidden="1">#REF!</definedName>
    <definedName name="_RIV36b4dade59b1428db878ff102dd27e78" hidden="1">#REF!</definedName>
    <definedName name="_RIV36b7a2ecceb549a6933d0b0d71b9dc52" hidden="1">#REF!</definedName>
    <definedName name="_RIV36e67e9a53f24772890e968ef8370337" hidden="1">#REF!</definedName>
    <definedName name="_RIV37359b3ad32641c8b63a3b619b5c9900" hidden="1">#REF!</definedName>
    <definedName name="_RIV377b66f6b82a402e8e0442c95c1b017f" hidden="1">#REF!</definedName>
    <definedName name="_RIV378e6f3c601f417881d56fc04d855f25" hidden="1">#REF!</definedName>
    <definedName name="_RIV379dc00e8faa4e7982d629a92dd5ccd2" hidden="1">#REF!</definedName>
    <definedName name="_RIV37d3de79ce704748873f1ad1dc6a6d8f" hidden="1">#REF!</definedName>
    <definedName name="_RIV380222f4afe84fcd968c818c5db31433" hidden="1">#REF!</definedName>
    <definedName name="_RIV381cc3bf4e914659a27417bd9342e91a" hidden="1">#REF!</definedName>
    <definedName name="_RIV387a23e38701418a8fc276935e7fae13" hidden="1">#REF!</definedName>
    <definedName name="_RIV38811bba612d4365a1a4693cb8cff2c7" hidden="1">#REF!</definedName>
    <definedName name="_RIV38f947276ceb473082231e95f3d8048c" hidden="1">#REF!</definedName>
    <definedName name="_RIV3905cdae2fb34da1b44f4df1510337f4" hidden="1">#REF!</definedName>
    <definedName name="_RIV392980519adc48f7a161081950b22bc4" hidden="1">#REF!</definedName>
    <definedName name="_RIV393f2056d5854d8eaaea57aaa0b50fcc" hidden="1">#REF!</definedName>
    <definedName name="_RIV3946e8b30d2c4011bbc11bb3485328f6" hidden="1">#REF!</definedName>
    <definedName name="_RIV3956480a47fb40e8972bbc94a7072d47" hidden="1">#REF!</definedName>
    <definedName name="_RIV395ab80f3f6d446dacaee1c5b219111a" hidden="1">#REF!</definedName>
    <definedName name="_RIV39ca3dc03d5443218285aaf563480d73" hidden="1">#REF!</definedName>
    <definedName name="_RIV3a4b2557ccbf4e9188c37e5e7fe364ca" hidden="1">#REF!</definedName>
    <definedName name="_RIV3a9f9ad9018c41189c28ebd7a26bc394" hidden="1">#REF!</definedName>
    <definedName name="_RIV3aa0cd62a1ff4787985c1e616b8e19ce" hidden="1">#REF!</definedName>
    <definedName name="_RIV3adb61cc43ac45c99897eff83771fb02" hidden="1">#REF!</definedName>
    <definedName name="_RIV3b30332fd29f410599418872a02c8329" hidden="1">#REF!</definedName>
    <definedName name="_RIV3b3c22a137c5470282339f4adf029589" hidden="1">#REF!</definedName>
    <definedName name="_RIV3b49f8eeeebf46298cfeb8cf76faaa79" hidden="1">#REF!</definedName>
    <definedName name="_RIV3b6b04e92cf74f7094024beff7b923b0" hidden="1">#REF!</definedName>
    <definedName name="_RIV3b7d324379b24f5e9632eed666fa3cf2" hidden="1">#REF!</definedName>
    <definedName name="_RIV3b9faaee98a24de090c1f8ec57ce2076" hidden="1">#REF!</definedName>
    <definedName name="_RIV3bf23c8a3ff14978bd2068e0609adb31" hidden="1">#REF!</definedName>
    <definedName name="_RIV3c1606fd967849ff88fcb5289ecfe52f" hidden="1">#REF!</definedName>
    <definedName name="_RIV3c7e20f3f4994b7ab1785f6c094bc020" hidden="1">#REF!</definedName>
    <definedName name="_RIV3cb5632dd2e747f0abde0359063fbcfc" hidden="1">#REF!</definedName>
    <definedName name="_RIV3cff98afba2c432b92a9fb6b0d0ea43b" hidden="1">#REF!</definedName>
    <definedName name="_RIV3d0c66ca5591426fb130c79b59bb8c5e" hidden="1">#REF!</definedName>
    <definedName name="_RIV3d0f9df1dbc84a9ba18fc2e9f7e55411" hidden="1">#REF!</definedName>
    <definedName name="_RIV3df52c8d2cbb45afb27a40e96cc3a200" hidden="1">#REF!</definedName>
    <definedName name="_RIV3e3214a43b5b4abe8e1d06f2b31f33be" hidden="1">#REF!</definedName>
    <definedName name="_RIV3e38808e9d1e4b9faf4ec534349ce00b" hidden="1">#REF!</definedName>
    <definedName name="_RIV3ea250ec183f44eea38fedb588a93400" hidden="1">#REF!</definedName>
    <definedName name="_RIV3ea98cc615fb4b6087ffefa64c6eec42" hidden="1">#REF!</definedName>
    <definedName name="_RIV3eebb698fe4941ed926ac05694614275" hidden="1">#REF!</definedName>
    <definedName name="_RIV3f147387a44a4f3d8d9ce045c9f1b05b" hidden="1">#REF!</definedName>
    <definedName name="_RIV3f8e43613a18436db92f7cd52939d21e" hidden="1">#REF!</definedName>
    <definedName name="_RIV3fb0581280674467b4f09ff95d37a672" hidden="1">#REF!</definedName>
    <definedName name="_RIV3fc1aad1325e47f28a229e42be05aad7" hidden="1">#REF!</definedName>
    <definedName name="_RIV4007bfbbd2d34dd98ee165f6d62f3fec" hidden="1">#REF!</definedName>
    <definedName name="_RIV404b13cc90f14ea091db5df4df2c1b67" hidden="1">#REF!</definedName>
    <definedName name="_RIV40bb40c937b3447291c3c1ac20bb9a57" hidden="1">#REF!</definedName>
    <definedName name="_RIV4173d1410b7c488c8c2f463cd3852533" hidden="1">#REF!</definedName>
    <definedName name="_RIV41d5258d616f4665a0f38a1fa3380cca" hidden="1">#REF!</definedName>
    <definedName name="_RIV41e8d263e77e46a1ac44f14f861034c4" hidden="1">#REF!</definedName>
    <definedName name="_RIV4224e999821a486eba5234b70619b5a2" hidden="1">#REF!</definedName>
    <definedName name="_RIV422d54608e0d4ac3b4c622b6db7609f9" hidden="1">#REF!</definedName>
    <definedName name="_RIV4280f93cd2e646b4904444075128a145" hidden="1">#REF!</definedName>
    <definedName name="_RIV42db0ba2c65a4c0c896aac7823078c4a" hidden="1">#REF!</definedName>
    <definedName name="_RIV431e335fce234234924e233bafbb71ec" hidden="1">#REF!</definedName>
    <definedName name="_RIV4392d9604a58476d9ae569e9f84fff48" hidden="1">#REF!</definedName>
    <definedName name="_RIV43ab7f28358a4204b7843ed107f87e17" hidden="1">#REF!</definedName>
    <definedName name="_RIV43c330c50e334e40b412bfda06f09db2" hidden="1">#REF!</definedName>
    <definedName name="_RIV43fe45cd58eb49d683b2b4961510cf85" hidden="1">#REF!</definedName>
    <definedName name="_RIV44674d13842e4cbc926e5c4602b5c9c9" hidden="1">#REF!</definedName>
    <definedName name="_RIV448d631108c8458dbabbfea1381925b4" hidden="1">#REF!</definedName>
    <definedName name="_RIV453ffba085b74df49645c35be376a81b" hidden="1">#REF!</definedName>
    <definedName name="_RIV455d4069b70b477fbaa35c8c1bd10d80" hidden="1">#REF!</definedName>
    <definedName name="_RIV457c3fd99ead4042962576bebaf2124e" hidden="1">#REF!</definedName>
    <definedName name="_RIV457fc4eb69a8450fb5e86f1f3692919c" hidden="1">#REF!</definedName>
    <definedName name="_RIV458a92a54a9b4e599bc85cdcb0572d8d" hidden="1">#REF!</definedName>
    <definedName name="_RIV45f81a2b91d24d7aaa0c62e6d766bafa" hidden="1">#REF!</definedName>
    <definedName name="_RIV46adc40d2ac34648b7702b8746d4c203" hidden="1">#REF!</definedName>
    <definedName name="_RIV46b77db297de486bb0d0ad2e7523f9a5" hidden="1">#REF!</definedName>
    <definedName name="_RIV46eaf409f72b4e80b73a7d3327232f72" hidden="1">#REF!</definedName>
    <definedName name="_RIV470e5931ef864cbda07bb1d4d666ad0d" hidden="1">#REF!</definedName>
    <definedName name="_RIV47b264859cb541bbbb046c10f8c271e8" hidden="1">#REF!</definedName>
    <definedName name="_RIV482fc6730b7d4e84a1b502e38a06850f" hidden="1">#REF!</definedName>
    <definedName name="_RIV48346bff8725434485ef300ecf597d23" hidden="1">#REF!</definedName>
    <definedName name="_RIV484332204e8f4c999704c20c1cf176b9" hidden="1">#REF!</definedName>
    <definedName name="_RIV48ad4d21cb5f403f904d9c61b95db9f5" hidden="1">#REF!</definedName>
    <definedName name="_RIV4931dd8b9ea9408f8ffe4cee93b5c947" hidden="1">#REF!</definedName>
    <definedName name="_RIV4982a39e092a4b37b29a58468b0ecf73" hidden="1">#REF!</definedName>
    <definedName name="_RIV49d83c3bf7154f5499b895ea2c2e8c4b" hidden="1">#REF!</definedName>
    <definedName name="_RIV49da7e744ffb482cb9f197afe80cae77" hidden="1">#REF!</definedName>
    <definedName name="_RIV4ab884f64fdf46de98d57038340794e1" hidden="1">#REF!</definedName>
    <definedName name="_RIV4ad2772d997f49af8ea376a28d985e81" hidden="1">#REF!</definedName>
    <definedName name="_RIV4adc0a62f64f455d8854549e746e8577" hidden="1">#REF!</definedName>
    <definedName name="_RIV4b180d4a51794e7b8963e38027d0f978" hidden="1">#REF!</definedName>
    <definedName name="_RIV4b3e5cb0550841799b366f691f7791e0" hidden="1">#REF!</definedName>
    <definedName name="_RIV4b5aed616a4342268178b8288eb6dc1d" hidden="1">#REF!</definedName>
    <definedName name="_RIV4bbb4e7f0cc34663b97aca33147ce5d1" hidden="1">#REF!</definedName>
    <definedName name="_RIV4bbc3ae86ec84eab85a252f5820d1107" hidden="1">#REF!</definedName>
    <definedName name="_RIV4be3f3e2e1e6408e97df50d80dce72fa" hidden="1">#REF!</definedName>
    <definedName name="_RIV4becc4bd8f134e0c9c189bf7cd1d5598" hidden="1">#REF!</definedName>
    <definedName name="_RIV4c1004ed64c047e3975d65ed3115bae5" hidden="1">#REF!</definedName>
    <definedName name="_RIV4c44b64b58204535950001c832f31f81" hidden="1">#REF!</definedName>
    <definedName name="_RIV4c4ce38cf54f41e3a715a8d6b4adf4a4" hidden="1">#REF!</definedName>
    <definedName name="_RIV4c6a6d3e6790494b997db611fa85a857" hidden="1">#REF!</definedName>
    <definedName name="_RIV4c8b0e649b514af89a79e8aca1acf1a3" hidden="1">#REF!</definedName>
    <definedName name="_RIV4cc15dedbd174d3181044dc0df29c9d1" hidden="1">#REF!</definedName>
    <definedName name="_RIV4ccc3caba2be4be1a255474f43d04cf2" hidden="1">#REF!</definedName>
    <definedName name="_RIV4d683c2ad469464dac7038b21a3a85aa" hidden="1">#REF!</definedName>
    <definedName name="_RIV4d698317a4c94e08ad5dc6e420ec15f6" hidden="1">#REF!</definedName>
    <definedName name="_RIV4dce524f5f60406491889bf8b95b07b8" hidden="1">#REF!</definedName>
    <definedName name="_RIV4df0bdbb81954381b0468de3c5972e2a" hidden="1">#REF!</definedName>
    <definedName name="_RIV4e2f57eece1642229c784a344b8e57b9" hidden="1">#REF!</definedName>
    <definedName name="_RIV4e909241efbe42ceb5c2249420644670" hidden="1">#REF!</definedName>
    <definedName name="_RIV4ec8eb8027884971af067b26c1bf46b9" hidden="1">#REF!</definedName>
    <definedName name="_RIV4ec8fcd1313d4410aa9c76b5715b2f74" hidden="1">#REF!</definedName>
    <definedName name="_RIV4edeec837f554d6a9a97c33aedfb204d" hidden="1">#REF!</definedName>
    <definedName name="_RIV4f147e5a877144afa8af498aea554b5b" hidden="1">#REF!</definedName>
    <definedName name="_RIV4f713998765d4d638844aa0a7816d53b" hidden="1">#REF!</definedName>
    <definedName name="_RIV4f94460effb6466391be7f95cfcebccf" hidden="1">#REF!</definedName>
    <definedName name="_RIV4fa9ac98664042d6a9c6316af94e91c0" hidden="1">#REF!</definedName>
    <definedName name="_RIV4fb11a56bcd04665b8a03a066bc0060d" hidden="1">#REF!</definedName>
    <definedName name="_RIV4ff2379e809a472db2464be54ad5b225" hidden="1">#REF!</definedName>
    <definedName name="_RIV502666a3b3f140de80b0151cf116e9a8" hidden="1">#REF!</definedName>
    <definedName name="_RIV50371b0fc25c4a35873b01aff1260ec9" hidden="1">#REF!</definedName>
    <definedName name="_RIV5096ac8c286c4fd5ae0f15a6083a8106" hidden="1">#REF!</definedName>
    <definedName name="_RIV50a337bc865442ebbc03788a276a1279" hidden="1">#REF!</definedName>
    <definedName name="_RIV50b59e1188c448d39406cf18dbd57ced" hidden="1">#REF!</definedName>
    <definedName name="_RIV511e63ddd972460e9f3bd38131e83d95" hidden="1">#REF!</definedName>
    <definedName name="_RIV5182b33f572e403daffac5d07691b780" hidden="1">#REF!</definedName>
    <definedName name="_RIV51a5fd0380a24bf38ad423164ee9ea9b" hidden="1">#REF!</definedName>
    <definedName name="_RIV51b840622f764f529a7be17e9c79aa51" hidden="1">#REF!</definedName>
    <definedName name="_RIV5217df8372344e81803508760258b43d" hidden="1">#REF!</definedName>
    <definedName name="_RIV5236e231606545df90753b9ea5e167af" hidden="1">#REF!</definedName>
    <definedName name="_RIV526e53fc475b45c9ba0f84f45d431fab" hidden="1">#REF!</definedName>
    <definedName name="_RIV52ada6abedd74ab38b1457c1bfab78af" hidden="1">#REF!</definedName>
    <definedName name="_RIV52e5a041f06b48f783f9fa80416bada7" hidden="1">#REF!</definedName>
    <definedName name="_RIV52ea6a08c5c64c5a88dd2173805447b1" hidden="1">#REF!</definedName>
    <definedName name="_RIV5331092ddbba4769a8477cc7f08ee932" hidden="1">#REF!</definedName>
    <definedName name="_RIV535f4e6eee2f48e7924c8456afee38e6" hidden="1">#REF!</definedName>
    <definedName name="_RIV53670105ec684b90a1311c540d1d13a1" hidden="1">#REF!</definedName>
    <definedName name="_RIV5378ab7a4e544e9e8bb38819c4eace99" hidden="1">#REF!</definedName>
    <definedName name="_RIV549a4b5495084504aab6c4b61032db2c" hidden="1">#REF!</definedName>
    <definedName name="_RIV54d8999988424e56b292b794d3b453d0" hidden="1">#REF!</definedName>
    <definedName name="_RIV5514db72bce04bc6a45385c1bd25d275" hidden="1">#REF!</definedName>
    <definedName name="_RIV5536e5302ef0420e87538a12614523f5" hidden="1">#REF!</definedName>
    <definedName name="_RIV55422e0f9abb424cafa151e685bccd71" hidden="1">#REF!</definedName>
    <definedName name="_RIV554d90c717eb4557a07c96fbc10fa2ea" hidden="1">#REF!</definedName>
    <definedName name="_RIV5569d1c151804e5fb5b07937264d8f7a" hidden="1">#REF!</definedName>
    <definedName name="_RIV558b104da0bd4b1d963ff74c608abe2b" hidden="1">#REF!</definedName>
    <definedName name="_RIV55c61b0458b04a60b0c0522254e76516" hidden="1">#REF!</definedName>
    <definedName name="_RIV55e532408ced4d72b4e89882d029f3a3" hidden="1">#REF!</definedName>
    <definedName name="_RIV5602d496e0554fc1b0d3803f5a06335b" hidden="1">#REF!</definedName>
    <definedName name="_RIV5618e5778ce64a74aed5da4c32a0dace" hidden="1">#REF!</definedName>
    <definedName name="_RIV562b4f08794c4096bab5867159b412c2" hidden="1">#REF!</definedName>
    <definedName name="_RIV565e0b53301d44bd9d1cd48b1bb899d9" hidden="1">#REF!</definedName>
    <definedName name="_RIV56948c1a0e5e4f3bb10767a91883409c" hidden="1">#REF!</definedName>
    <definedName name="_RIV56bebdb48060497b927e376595bfcaa4" hidden="1">#REF!</definedName>
    <definedName name="_RIV56f1b86226494c5b861424d3f0a81c7c" hidden="1">#REF!</definedName>
    <definedName name="_RIV56f5c275331544b5ba79216b159bae34" hidden="1">#REF!</definedName>
    <definedName name="_RIV56ffc82a73094ba6b5c6c8f3ba3d1676" hidden="1">#REF!</definedName>
    <definedName name="_RIV57037993bba44ce39f023088eb7347a3" hidden="1">#REF!</definedName>
    <definedName name="_RIV5726480bc5ce44c3bc6004a8c3cf46da" hidden="1">#REF!</definedName>
    <definedName name="_RIV575725955123444dabda33c444de2316" hidden="1">#REF!</definedName>
    <definedName name="_RIV58f069389e814b77bebcbcc735b5f2d5" hidden="1">#REF!</definedName>
    <definedName name="_RIV590ee78223c94ab592f4aafdcc8f95ce" hidden="1">#REF!</definedName>
    <definedName name="_RIV59a67068402a4b96834019e76298a239" hidden="1">#REF!</definedName>
    <definedName name="_RIV59c40a7347f641c79a59436ba2336c59" hidden="1">#REF!</definedName>
    <definedName name="_RIV59cf941c960c44eca63b32066476ca9e" hidden="1">#REF!</definedName>
    <definedName name="_RIV59d3e158389e4584908338fbb194218f" hidden="1">#REF!</definedName>
    <definedName name="_RIV5a1efa8574334ee391b93c9546911461" hidden="1">#REF!</definedName>
    <definedName name="_RIV5a82cbe6cb944aaba6bc72f5d8851a86" hidden="1">#REF!</definedName>
    <definedName name="_RIV5aa8ef45c2a845fd9cfcba56a5c252f0" hidden="1">#REF!</definedName>
    <definedName name="_RIV5abbf28ba3b740dba9a4a3b79dedd763" hidden="1">#REF!</definedName>
    <definedName name="_RIV5b1c1818af384a4baaef4c0d56d63673" hidden="1">#REF!</definedName>
    <definedName name="_RIV5b2698daa74440b5b2579bc86ab74436" hidden="1">#REF!</definedName>
    <definedName name="_RIV5b63b7511e7a47e28d82dfe51bec310e" hidden="1">#REF!</definedName>
    <definedName name="_RIV5ba650a14ae2407394fd57389cd0265f" hidden="1">#REF!</definedName>
    <definedName name="_RIV5c075fe60eb7420783eb62a954bb35bf" hidden="1">#REF!</definedName>
    <definedName name="_RIV5d25e4aebdcb4545b73286049142e69b" hidden="1">#REF!</definedName>
    <definedName name="_RIV5db463b5b9ae48ff8af437f660cf8743" hidden="1">#REF!</definedName>
    <definedName name="_RIV5dc68d95f8d94d7694a7265affe0b5a1" hidden="1">#REF!</definedName>
    <definedName name="_RIV5de06525969244dca947e58c3c4ce61b" hidden="1">#REF!</definedName>
    <definedName name="_RIV5de072dc19894b8ea3d69c429a0f1aa4" hidden="1">#REF!</definedName>
    <definedName name="_RIV5e57eed5cd944deb9f505be48e84c460" hidden="1">#REF!</definedName>
    <definedName name="_RIV5e6bf4a02f5c499d96e0e3e04ceb52e4" hidden="1">#REF!</definedName>
    <definedName name="_RIV5ee5ce528c5848b7992ba713f6ee82c1" hidden="1">#REF!</definedName>
    <definedName name="_RIV5fb58ce056764e368114b1cf9cfe8d0f" hidden="1">#REF!</definedName>
    <definedName name="_RIV5ff7b6be9202492aad0104d01da959a7" hidden="1">#REF!</definedName>
    <definedName name="_RIV5ffbd149f8184cd3968ea5033d778fce" hidden="1">#REF!</definedName>
    <definedName name="_RIV60785d74a41a47b3bf1c9c121e10936b" hidden="1">#REF!</definedName>
    <definedName name="_RIV613a357614ac4156b4e894bc66ce2d47" hidden="1">#REF!</definedName>
    <definedName name="_RIV6165c268d58b41169206a950261be7ee" hidden="1">#REF!</definedName>
    <definedName name="_RIV61b3cd11fb434aaca18ed6f2b337c1d9" hidden="1">#REF!</definedName>
    <definedName name="_RIV624294941e63469480d61de099302fd4" hidden="1">#REF!</definedName>
    <definedName name="_RIV6254fa9509b04ada809addc15583631c" hidden="1">#REF!</definedName>
    <definedName name="_RIV6264b5e27aea4f4497b952825fad5b91" hidden="1">#REF!</definedName>
    <definedName name="_RIV6285dde428254361bebb13130dae7d4f" hidden="1">#REF!</definedName>
    <definedName name="_RIV62a29c5f87f7403392c9a88ece295bb7" hidden="1">#REF!</definedName>
    <definedName name="_RIV62adbd35fd1143b6be252c008de0917f" hidden="1">#REF!</definedName>
    <definedName name="_RIV62be4aaf43bc4021a4e16d26a67aa2ca" hidden="1">#REF!</definedName>
    <definedName name="_RIV63981dab19464652b1b55b74576d283c" hidden="1">#REF!</definedName>
    <definedName name="_RIV63c2a77b9d3142bbbe14e31f95219a87" hidden="1">#REF!</definedName>
    <definedName name="_RIV63d38ff66be14148a41304d38335b20d" hidden="1">#REF!</definedName>
    <definedName name="_RIV64c17580b2ed4550b24a2a7930df2a21" hidden="1">#REF!</definedName>
    <definedName name="_RIV64d2c5acf77e4b618c38b4eb76a25cdc" hidden="1">#REF!</definedName>
    <definedName name="_RIV650a4284a8e9481ca4d4c7fcd0d66e97" hidden="1">#REF!</definedName>
    <definedName name="_RIV6551ce1f841f40f289100f6f3f743134" hidden="1">#REF!</definedName>
    <definedName name="_RIV65819d003a8342ce91783b6d82eea375" hidden="1">#REF!</definedName>
    <definedName name="_RIV6591ed016b1644e8a8689c603b418068" hidden="1">#REF!</definedName>
    <definedName name="_RIV6630dfd9484e4308ad1efafef7a09762" hidden="1">#REF!</definedName>
    <definedName name="_RIV66927042521f4882856eb8e2c7906d91" hidden="1">#REF!</definedName>
    <definedName name="_RIV66b75a645a10413c81860d922c674c05" hidden="1">#REF!</definedName>
    <definedName name="_RIV67316b58286b4f478d5eecda6d9d308f" hidden="1">#REF!</definedName>
    <definedName name="_RIV675ffed04c7146a59a272a7c4c9cbee2" hidden="1">#REF!</definedName>
    <definedName name="_RIV67b79025847c4f4e969aae45df373764" hidden="1">#REF!</definedName>
    <definedName name="_RIV67c0a430d7c74c5abc25051e365eb14d" hidden="1">#REF!</definedName>
    <definedName name="_RIV683008325d724f0f925daaaaa75e9bed" hidden="1">#REF!</definedName>
    <definedName name="_RIV683f0f5f520145149e3ae347b849e51e" hidden="1">#REF!</definedName>
    <definedName name="_RIV686cd2c0142f4993abe9b663d3b3f548" hidden="1">#REF!</definedName>
    <definedName name="_RIV69320844f8c14135b5367727750bb2f1" hidden="1">#REF!</definedName>
    <definedName name="_RIV69510873a95544239e81d7eec4b8c72a" hidden="1">#REF!</definedName>
    <definedName name="_RIV6a2662789f8d4c58a0e9ddb025c22f36" hidden="1">#REF!</definedName>
    <definedName name="_RIV6a62d6d0db1c4889bfb3cb10c460afe4" hidden="1">#REF!</definedName>
    <definedName name="_RIV6a6321b675a94441a3db6797619abf60" hidden="1">#REF!</definedName>
    <definedName name="_RIV6aae9f83461a4bb19fcd6b0a53e5b195" hidden="1">#REF!</definedName>
    <definedName name="_RIV6ad20faa0c7e41159b8173770f6a1814" hidden="1">#REF!</definedName>
    <definedName name="_RIV6b45e203ead14edaa12c783139f93b79" hidden="1">#REF!</definedName>
    <definedName name="_RIV6b6d0b7b5ca74c298373cc183893bc50" hidden="1">#REF!</definedName>
    <definedName name="_RIV6bb434be551a4662afc069f496433037" hidden="1">#REF!</definedName>
    <definedName name="_RIV6bc3d2e9d5284e3ca510bef85880546d" hidden="1">#REF!</definedName>
    <definedName name="_RIV6bcd278fc55d4596b4726066181b0724" hidden="1">#REF!</definedName>
    <definedName name="_RIV6be285ec308649fa9449cec15b3217cf" hidden="1">#REF!</definedName>
    <definedName name="_RIV6c45b8be3970499aa9526b23f6f738a3" hidden="1">#REF!</definedName>
    <definedName name="_RIV6cd78252586f4fd1a2605afa55abfaf3" hidden="1">#REF!</definedName>
    <definedName name="_RIV6d0cac92477c443ea931481d939957c2" hidden="1">#REF!</definedName>
    <definedName name="_RIV6d9636e2306348c1920a5c43fe17453a" hidden="1">#REF!</definedName>
    <definedName name="_RIV6da658b99e944e2499f252520cca8544" hidden="1">#REF!</definedName>
    <definedName name="_RIV6dafc9e12cd5490fbafa92c8a0f8b916" hidden="1">#REF!</definedName>
    <definedName name="_RIV6db97b2478c64bd1ba8f126c772031ea" hidden="1">#REF!</definedName>
    <definedName name="_RIV6dfe6293c41e46d699678f94f6d0bf6b" hidden="1">#REF!</definedName>
    <definedName name="_RIV6e79543537a14b329fdca44dac726b86" hidden="1">#REF!</definedName>
    <definedName name="_RIV6e83b4b306de4d2daa660f026510e95b" hidden="1">#REF!</definedName>
    <definedName name="_RIV6ecd7a449bee4fa396199d9bd055c8e1" hidden="1">#REF!</definedName>
    <definedName name="_RIV6edec86d4e294ebd97e8f17fcd0133c0" hidden="1">#REF!</definedName>
    <definedName name="_RIV6f3f22e86dec4d989306c936f47b233e" hidden="1">#REF!</definedName>
    <definedName name="_RIV6f8c78436e024aa49f0b85250b5cbe97" hidden="1">#REF!</definedName>
    <definedName name="_RIV6fb679c8b9c74a4687a6ecb298232848" hidden="1">#REF!</definedName>
    <definedName name="_RIV6fd5e684e86840de91804c3d0b6df9c0" hidden="1">#REF!</definedName>
    <definedName name="_RIV70467d14ec9e4e7096d891c2e8e7f5e0" hidden="1">#REF!</definedName>
    <definedName name="_RIV705bd0cdef8a400783a0d484997f95e6" hidden="1">#REF!</definedName>
    <definedName name="_RIV7062882d06df43a580e98e29b94cc590" hidden="1">#REF!</definedName>
    <definedName name="_RIV70b247e743484fe3aadf175cc39d7fa1" hidden="1">#REF!</definedName>
    <definedName name="_RIV70db5406d1d04ebbb36fd4f053d91d26" hidden="1">#REF!</definedName>
    <definedName name="_RIV711d49150769444792e10eee74ce79e3" hidden="1">#REF!</definedName>
    <definedName name="_RIV7168c0e9b8c14717ad64dd64d46f4daa" hidden="1">#REF!</definedName>
    <definedName name="_RIV71d2f3f266df48f391313bdba045387f" hidden="1">#REF!</definedName>
    <definedName name="_RIV71dbfd4062fa4a5f81d3f20efd56f232" hidden="1">#REF!</definedName>
    <definedName name="_RIV71ff861c366a4ff1a8e9413696199887" hidden="1">#REF!</definedName>
    <definedName name="_RIV72282e372ad9400bb13323b57451b10c" hidden="1">#REF!</definedName>
    <definedName name="_RIV723b1826c0054387a3515d0690e96d5f" hidden="1">#REF!</definedName>
    <definedName name="_RIV723b3d9577514650a07a7060107e0204" hidden="1">#REF!</definedName>
    <definedName name="_RIV7252e834c61c4fa58f83399a2b0a9fdb" hidden="1">#REF!</definedName>
    <definedName name="_RIV728addf92fed44f2aa5d319882ca02c9" hidden="1">#REF!</definedName>
    <definedName name="_RIV729e06b1ece647b7873ba4382a3e5947" hidden="1">#REF!</definedName>
    <definedName name="_RIV72badc9899f6400eb05f04b5bf0999d5" hidden="1">#REF!</definedName>
    <definedName name="_RIV72c9d2f5466a40eeb7ee21b8b11ee57b" hidden="1">#REF!</definedName>
    <definedName name="_RIV72e5845be3a54440ae617d45cf23428c" hidden="1">#REF!</definedName>
    <definedName name="_RIV7302acabd5604d62a6ad70f5c45baec0" hidden="1">#REF!</definedName>
    <definedName name="_RIV731fe13bfa7241d49093141b2816facc" hidden="1">#REF!</definedName>
    <definedName name="_RIV732f827364ab42c1a15abd6f8f0f64a3" hidden="1">#REF!</definedName>
    <definedName name="_RIV737b2477d9424d429ec1404e134176b5" hidden="1">#REF!</definedName>
    <definedName name="_RIV73903a84ea7245749400c7fa974f4f86" hidden="1">#REF!</definedName>
    <definedName name="_RIV73a36cfa01ff475ea4caf8f5a11572fc" hidden="1">#REF!</definedName>
    <definedName name="_RIV74169743d3bb4b86a34a67e7e3fb431b" hidden="1">#REF!</definedName>
    <definedName name="_RIV744c8c72540b47c3b100a2d71e41ad93" hidden="1">#REF!</definedName>
    <definedName name="_RIV7490f6f1027f4863b914d031fdd07fda" hidden="1">#REF!</definedName>
    <definedName name="_RIV74a6f8a26a344de3b42e60dc0ed6c935" hidden="1">#REF!</definedName>
    <definedName name="_RIV74abeb42145842de84ec885ff60ba020" hidden="1">#REF!</definedName>
    <definedName name="_RIV752a722981e04579a634767f951a73fe" hidden="1">#REF!</definedName>
    <definedName name="_RIV75329fba0e464227bc8463b7374f2fa9" hidden="1">#REF!</definedName>
    <definedName name="_RIV754136211a1c4b2dae8a4f08952f20d4" hidden="1">#REF!</definedName>
    <definedName name="_RIV754f76b0c3474df89746fda6c60a662d" hidden="1">#REF!</definedName>
    <definedName name="_RIV7562febc317b462bbad5cdaa3337827e" hidden="1">#REF!</definedName>
    <definedName name="_RIV757cf274ce5c4840bd48bc91b2d94cbf" hidden="1">#REF!</definedName>
    <definedName name="_RIV758f7343898a4946b96d08d91d9e44e9" hidden="1">#REF!</definedName>
    <definedName name="_RIV759a4d8e97b14e92aecb201c2010aa86" hidden="1">#REF!</definedName>
    <definedName name="_RIV762651b3c09644a7ac04032f2ea0ecdf" hidden="1">#REF!</definedName>
    <definedName name="_RIV769a8fe6e26b45dc83093507e57b7eca" hidden="1">#REF!</definedName>
    <definedName name="_RIV769ea17b10b841489262bd9223a93d5f" hidden="1">#REF!</definedName>
    <definedName name="_RIV76a58ed7c1c44560bf11dc7511077270" hidden="1">#REF!</definedName>
    <definedName name="_RIV76a7acb50f2c4ac4a6b3e37387159bcb" hidden="1">#REF!</definedName>
    <definedName name="_RIV76b315569c7d4024aeab300b9a2cca1c" hidden="1">#REF!</definedName>
    <definedName name="_RIV76c5fe3deb514d01bde72a8d31d6fcea" hidden="1">#REF!</definedName>
    <definedName name="_RIV7701042531134715b12ea93df853f5b6" hidden="1">#REF!</definedName>
    <definedName name="_RIV773e273020cd4fc19f64cfb619d19640" hidden="1">#REF!</definedName>
    <definedName name="_RIV77870f065f05451092fdc9dea9b1b5b5" hidden="1">#REF!</definedName>
    <definedName name="_RIV77c458b70cac40789417fce0b5a7c352" hidden="1">#REF!</definedName>
    <definedName name="_RIV77f5ffb5030d4fd698c214f6499d1947" hidden="1">#REF!</definedName>
    <definedName name="_RIV784b02a8ea204d2a804aab92c7968225" hidden="1">#REF!</definedName>
    <definedName name="_RIV7886985284e948e6a1181e57e713627e" hidden="1">#REF!</definedName>
    <definedName name="_RIV78b84bfd72284a108e46c951a837335c" hidden="1">#REF!</definedName>
    <definedName name="_RIV78c118d932a946aa8689b15c104802d6" hidden="1">#REF!</definedName>
    <definedName name="_RIV78c1761e0d3b42fdba0c1781c9c2179e" hidden="1">#REF!</definedName>
    <definedName name="_RIV78ee44d53a2f4ff4aba191dfb401b763" hidden="1">#REF!</definedName>
    <definedName name="_RIV793b066596694e209a41b3dfa6248652" hidden="1">#REF!</definedName>
    <definedName name="_RIV79956ee37e20430cb69aedbcb738f38d" hidden="1">#REF!</definedName>
    <definedName name="_RIV7a6936293ec44a04a25ee2d06c186466" hidden="1">#REF!</definedName>
    <definedName name="_RIV7a6c4122debf44adbe2c36a0155ffa35" hidden="1">#REF!</definedName>
    <definedName name="_RIV7a81b1499b924d24bdba68d8c8dec963" hidden="1">#REF!</definedName>
    <definedName name="_RIV7a9d1e25bc1e4b3dbc1534f2ac8ff633" hidden="1">#REF!</definedName>
    <definedName name="_RIV7aa13719a9764c45b44dc1257339c228" hidden="1">#REF!</definedName>
    <definedName name="_RIV7abc6bcdc5d448b0b427830483b17779" hidden="1">#REF!</definedName>
    <definedName name="_RIV7af7637980994f26967ffe5ffb2ada4f" hidden="1">#REF!</definedName>
    <definedName name="_RIV7b23ac0ed1214d95935e1e61df4cacab" hidden="1">#REF!</definedName>
    <definedName name="_RIV7b6a0b34e9eb468db9e2c23d7c13d3e9" hidden="1">#REF!</definedName>
    <definedName name="_RIV7b93714475a1453db5d87f7e1a9657ee" hidden="1">#REF!</definedName>
    <definedName name="_RIV7ca0069a9b034fd3bb944ba7127ffcb7" hidden="1">#REF!</definedName>
    <definedName name="_RIV7cdcddec6c72459392d9aa53450301b4" hidden="1">#REF!</definedName>
    <definedName name="_RIV7d293fb3f1914ce58e1a0fefd44d76c7" hidden="1">#REF!</definedName>
    <definedName name="_RIV7d3ba21b4709478580564a03bfaca46b" hidden="1">#REF!</definedName>
    <definedName name="_RIV7d47c4b9987c40238f6b97c14cfb1122" hidden="1">#REF!</definedName>
    <definedName name="_RIV7da332f0048f425399932f463b5630a1" hidden="1">#REF!</definedName>
    <definedName name="_RIV7db4ab401fe14ce2a427bb51f033e33b" hidden="1">#REF!</definedName>
    <definedName name="_RIV7e0ae358b0ed43fc8c3afd8412054dd8" hidden="1">#REF!</definedName>
    <definedName name="_RIV7e48fd29b816440bafb7f49af6ec83c6" hidden="1">#REF!</definedName>
    <definedName name="_RIV7e5201dd0ef2419eb0f625229c98d8dc" hidden="1">#REF!</definedName>
    <definedName name="_RIV7ea2ef9b382d41db86bcdb2904d744f9" hidden="1">#REF!</definedName>
    <definedName name="_RIV7f09b6b84f5d416eaafe14b000ddaaf8" hidden="1">#REF!</definedName>
    <definedName name="_RIV7f3825aeaa0c4b8e9af4693d2a5d41e0" hidden="1">#REF!</definedName>
    <definedName name="_RIV7f9e67e6841844c496a2982b34250e2a" hidden="1">#REF!</definedName>
    <definedName name="_RIV800934a575924ed59ddd40fc74fd1870" hidden="1">#REF!</definedName>
    <definedName name="_RIV805d73347be34fec9eee5d4b116411e9" hidden="1">#REF!</definedName>
    <definedName name="_RIV808d9f5a0c974c75862dc2500b637db9" hidden="1">#REF!</definedName>
    <definedName name="_RIV80d34e6cdcef434cbd7c43475a4ac44c" hidden="1">#REF!</definedName>
    <definedName name="_RIV80fe9d2ff9484a91a992c3d72173b2a8" hidden="1">#REF!</definedName>
    <definedName name="_RIV8103e1a0ef4c4ff1b946e2cd01270fa3" hidden="1">#REF!</definedName>
    <definedName name="_RIV812fa5bd477b43069b1522b330d169e7" hidden="1">#REF!</definedName>
    <definedName name="_RIV8184f391b24341f0afcda637594e884c" hidden="1">#REF!</definedName>
    <definedName name="_RIV81c4b192fcc94b21a224cb06b2ca8d4e" hidden="1">#REF!</definedName>
    <definedName name="_RIV81df8398c63a4e29914c4ceed4008317" hidden="1">#REF!</definedName>
    <definedName name="_RIV8235819be5314867a4eb5920d228af00" hidden="1">#REF!</definedName>
    <definedName name="_RIV82433108a776467e942dc127799c3b2e" hidden="1">#REF!</definedName>
    <definedName name="_RIV824cba8f6270404ca3b23dd79d9601a4" hidden="1">#REF!</definedName>
    <definedName name="_RIV82525f9dafd74dc59e20015924c5493c" hidden="1">#REF!</definedName>
    <definedName name="_RIV825bffdae860416ca1908f71ea211b4f" hidden="1">#REF!</definedName>
    <definedName name="_RIV826d6faa020d481c9dc6c3cc21307f60" hidden="1">#REF!</definedName>
    <definedName name="_RIV82a52bcd51204ac09e3330eb9e668402" hidden="1">#REF!</definedName>
    <definedName name="_RIV82c38d10fbe1430e8d6bf61699d0d1fe" hidden="1">#REF!</definedName>
    <definedName name="_RIV82c874b3eef14a89a4dd474337deb5e8" hidden="1">#REF!</definedName>
    <definedName name="_RIV82c9dd6ab2d54892a1537019606c4631" hidden="1">#REF!</definedName>
    <definedName name="_RIV82f198d6575b492db524c8048e421164" hidden="1">#REF!</definedName>
    <definedName name="_RIV83421906d40643b4b5f50ab047772941" hidden="1">#REF!</definedName>
    <definedName name="_RIV83465d4b240f464aa58d2d06d8f1ce6f" hidden="1">#REF!</definedName>
    <definedName name="_RIV83b513cfb2b741b48411a146afbe2f42" hidden="1">#REF!</definedName>
    <definedName name="_RIV83ce9388b61c4a59a9d9d60f8fefe0aa" hidden="1">#REF!</definedName>
    <definedName name="_RIV841ba82a8e5240c2b1d439fcb6e7d699" hidden="1">#REF!</definedName>
    <definedName name="_RIV8433f5d6b31544d0bd7a665c64faa055" hidden="1">#REF!</definedName>
    <definedName name="_RIV845ad4972d714f3ab1b9933e774eca19" hidden="1">#REF!</definedName>
    <definedName name="_RIV8485c978bb734a56bb56ea6a3b9629f1" hidden="1">#REF!</definedName>
    <definedName name="_RIV85610a0de3ca45e98cdbc46e8ebb2691" hidden="1">#REF!</definedName>
    <definedName name="_RIV85927e6dba9441b898bb688a6a91667b" hidden="1">#REF!</definedName>
    <definedName name="_RIV859bf755102944ca8c9bb33b075129e3" hidden="1">#REF!</definedName>
    <definedName name="_RIV866235079617417a8d5131a5eb0257ef" hidden="1">#REF!</definedName>
    <definedName name="_RIV86e8984a03d14fe686f0a645a5840c48" hidden="1">#REF!</definedName>
    <definedName name="_RIV86ecb50a9a6242a4a89c466c48d103f9" hidden="1">#REF!</definedName>
    <definedName name="_RIV8738b42d918e4fe7b85a32f7ca5d42b9" hidden="1">#REF!</definedName>
    <definedName name="_RIV873d77f1fa75402bab1cbc88e6c36bfd" hidden="1">#REF!</definedName>
    <definedName name="_RIV87625a5d0eeb4004a8ede69031c8606a" hidden="1">#REF!</definedName>
    <definedName name="_RIV8775e9dc2de64b768af17b13063829ab" hidden="1">#REF!</definedName>
    <definedName name="_RIV877be304042641089acd6f24abfbf2c2" hidden="1">#REF!</definedName>
    <definedName name="_RIV87cc7c19c86c48b2883c23fba0eea84c" hidden="1">#REF!</definedName>
    <definedName name="_RIV881c46cb9bd54ce7bbb537923e3f9354" hidden="1">#REF!</definedName>
    <definedName name="_RIV88290a5eb3b54883b86eb8de8a80c831" hidden="1">#REF!</definedName>
    <definedName name="_RIV884f7e36113c4fd1b8cc74001df80d2a" hidden="1">#REF!</definedName>
    <definedName name="_RIV8864e159d9aa482c85568f38ce01b27f" hidden="1">#REF!</definedName>
    <definedName name="_RIV88aba89dc77345ef96c25a3255bc92d4" hidden="1">#REF!</definedName>
    <definedName name="_RIV8945fec91bc34eed801363ef1d50cce8" hidden="1">#REF!</definedName>
    <definedName name="_RIV894fdea1b41040b6ae8354d5238f0038" hidden="1">#REF!</definedName>
    <definedName name="_RIV89842f83c8084192954e269a9ec2bbcc" hidden="1">#REF!</definedName>
    <definedName name="_RIV89c8b8ddf8b34aae8f5e79b178ca0f31" hidden="1">#REF!</definedName>
    <definedName name="_RIV8a15a7d63622489896ff8e193a97a0b4" hidden="1">#REF!</definedName>
    <definedName name="_RIV8a6114ec2eb446d0b55df3f7a14cac95" hidden="1">#REF!</definedName>
    <definedName name="_RIV8a6cbe5633944eb4910a88c25b3dcd6b" hidden="1">#REF!</definedName>
    <definedName name="_RIV8aaa52b625f6424f8e033c6f3bef898f" hidden="1">#REF!</definedName>
    <definedName name="_RIV8ad57321383c49c7a773854e40c41368" hidden="1">#REF!</definedName>
    <definedName name="_RIV8af0a27e218d405f9fb512903c065f8c" hidden="1">#REF!</definedName>
    <definedName name="_RIV8b54eb82f4174728b7fc36491c09dc92" hidden="1">#REF!</definedName>
    <definedName name="_RIV8b9182977bbb4487bc8c4533436218eb" hidden="1">#REF!</definedName>
    <definedName name="_RIV8bb6aa54b6324ba0904bfa73def4d06b" hidden="1">#REF!</definedName>
    <definedName name="_RIV8c1fd49c19114cc9a0a1cffda24a5313" hidden="1">#REF!</definedName>
    <definedName name="_RIV8c3f4edf2dc542528eb7a1a363152cc5" hidden="1">#REF!</definedName>
    <definedName name="_RIV8d0beda84d474e0a9c74d80623ee27a8" hidden="1">#REF!</definedName>
    <definedName name="_RIV8d212ceac22a410891898be299705086" hidden="1">#REF!</definedName>
    <definedName name="_RIV8d64e25034404e5ea96b53e2f84a9b73" hidden="1">#REF!</definedName>
    <definedName name="_RIV8dcedb6e52994fbcb256d2e437d0571a" hidden="1">#REF!</definedName>
    <definedName name="_RIV8deddd5a918a4fdc84de91b3546924d7" hidden="1">#REF!</definedName>
    <definedName name="_RIV8df5584192064ce5ab16626f79d47f3c" hidden="1">#REF!</definedName>
    <definedName name="_RIV8e083103bd38421289581ef7dbb6a72d" hidden="1">#REF!</definedName>
    <definedName name="_RIV8e4854b8382d4b4b8ea57a7eeeda3afc" hidden="1">#REF!</definedName>
    <definedName name="_RIV8e6838855b4f4025a98af7ec0ab76a8b" hidden="1">#REF!</definedName>
    <definedName name="_RIV8e9649863e584943974cf5aca33e04bf" hidden="1">#REF!</definedName>
    <definedName name="_RIV8ef3e01011fd46b4b67b8f537031b36a" hidden="1">#REF!</definedName>
    <definedName name="_RIV8f27f3215d0d431ea0a94d4882052a68" hidden="1">#REF!</definedName>
    <definedName name="_RIV8f6383a354134d6888975d6cd2d73da4" hidden="1">#REF!</definedName>
    <definedName name="_RIV8f6fc768960c4617a07263b40b1a5555" hidden="1">#REF!</definedName>
    <definedName name="_RIV8fa54eb83c4c47c481b1e41a1c83c45c" hidden="1">#REF!</definedName>
    <definedName name="_RIV904115f445b543a0aa15602625a34041" hidden="1">#REF!</definedName>
    <definedName name="_RIV90457b35b82a4575a83f34a8dfccd27b" hidden="1">#REF!</definedName>
    <definedName name="_RIV904f6c3263144db39f412eb90f04f480" hidden="1">#REF!</definedName>
    <definedName name="_RIV90536c8970cb4949821b9a271c6ad54f" hidden="1">#REF!</definedName>
    <definedName name="_RIV90e3254afb1a49e18c8f3e7003071d40" hidden="1">#REF!</definedName>
    <definedName name="_RIV90eaaeba4250416fab8421f1b4edaadb" hidden="1">#REF!</definedName>
    <definedName name="_RIV90ff31b7e15843e2a89a958b12524f23" hidden="1">#REF!</definedName>
    <definedName name="_RIV91a8583a2a074870830579a818e19644" hidden="1">#REF!</definedName>
    <definedName name="_RIV9200afe6eafe4af5bc6bcf6fb5c22b92" hidden="1">#REF!</definedName>
    <definedName name="_RIV920e747e01284f2cbba39243ea6f3fba" hidden="1">#REF!</definedName>
    <definedName name="_RIV9246659438da4bc1878e669c115ffc0f" hidden="1">#REF!</definedName>
    <definedName name="_RIV924e15082a89417280d260b531d98785" hidden="1">#REF!</definedName>
    <definedName name="_RIV925b17971dd04203bbb0034bc3fd0c40" hidden="1">#REF!</definedName>
    <definedName name="_RIV9294a78d08c94c3e8aebfc8334ab3fd0" hidden="1">#REF!</definedName>
    <definedName name="_RIV92e4ed678da349d0b1e0ff331e391be7" hidden="1">#REF!</definedName>
    <definedName name="_RIV937a87a517404ef79c4601dc5bec8d1f" hidden="1">#REF!</definedName>
    <definedName name="_RIV9396026108854923a7892e00de08283d" hidden="1">#REF!</definedName>
    <definedName name="_RIV93a50d6b6a3f4881bed9bbe99eca4265" hidden="1">#REF!</definedName>
    <definedName name="_RIV93abdc303e8c4873b2e10253f066b816" hidden="1">#REF!</definedName>
    <definedName name="_RIV93b082e537044f94bd136908e3021dc1" hidden="1">#REF!</definedName>
    <definedName name="_RIV93c97e9be4f241499371a1f124382160" hidden="1">#REF!</definedName>
    <definedName name="_RIV93f0970d78ea48bb9222277223e17dd5" hidden="1">#REF!</definedName>
    <definedName name="_RIV942c4f6890bf4ae3991ce4204d7033ff" hidden="1">#REF!</definedName>
    <definedName name="_RIV9432f9295f554a9588cf75063422592a" hidden="1">#REF!</definedName>
    <definedName name="_RIV943a15ea6bbb43b8ba8677aa8422e068" hidden="1">#REF!</definedName>
    <definedName name="_RIV94d47811efe84af7ae5c5efd90bb30a9" hidden="1">#REF!</definedName>
    <definedName name="_RIV950310c721db4e4a987ab612faa655f1" hidden="1">#REF!</definedName>
    <definedName name="_RIV954ac935adc94086b56edee31cb39397" hidden="1">#REF!</definedName>
    <definedName name="_RIV958afe2dd95e49cf9b01ede47885f574" hidden="1">#REF!</definedName>
    <definedName name="_RIV95fbb0c4b5e34ebdbd8e6fff14e487ed" hidden="1">#REF!</definedName>
    <definedName name="_RIV9604293d4e884eb39e881f17d63feea2" hidden="1">#REF!</definedName>
    <definedName name="_RIV96c659bb908b4d3daa2c9ce5fbed1200" hidden="1">#REF!</definedName>
    <definedName name="_RIV97106265ad484d8991ebd059320f883e" hidden="1">#REF!</definedName>
    <definedName name="_RIV97275a2be4244bdcb3830dd79d5bda9b" hidden="1">#REF!</definedName>
    <definedName name="_RIV9791612d83a04a85b568d7c5ba95bbf6" hidden="1">#REF!</definedName>
    <definedName name="_RIV97a4a335f9b8494ca89541ef77a8451d" hidden="1">#REF!</definedName>
    <definedName name="_RIV97adfcef5c04412db92369f4847a1f41" hidden="1">#REF!</definedName>
    <definedName name="_RIV97d1d2f9dc3041898db2b79628673aa9" hidden="1">#REF!</definedName>
    <definedName name="_RIV980a67c5186843e79ea25b65d99ebce9" hidden="1">#REF!</definedName>
    <definedName name="_RIV98380f6fcedd46248b0aa989f48db4ce" hidden="1">#REF!</definedName>
    <definedName name="_RIV985a18d086064ff3829f3b7b57cec032" hidden="1">#REF!</definedName>
    <definedName name="_RIV98add183b9b94187bce82092425dd1b0" hidden="1">#REF!</definedName>
    <definedName name="_RIV98fe495e7b40407e9d72127335d89a47" hidden="1">#REF!</definedName>
    <definedName name="_RIV996ef9c896c5425d84bace6996e63f93" hidden="1">#REF!</definedName>
    <definedName name="_RIV999dcee0c3f44afd87f1c472abb09ce7" hidden="1">#REF!</definedName>
    <definedName name="_RIV9a1d985577c446e28d285f305d09854b" hidden="1">#REF!</definedName>
    <definedName name="_RIV9a63be25c5a54f229b4a8bcef66e15b7" hidden="1">#REF!</definedName>
    <definedName name="_RIV9a80b131f5fc4119842a412d49db9dc7" hidden="1">#REF!</definedName>
    <definedName name="_RIV9aa163219cfe407b8c069d09371b5b82" hidden="1">#REF!</definedName>
    <definedName name="_RIV9aed522a55eb469c82d937fef51dd569" hidden="1">#REF!</definedName>
    <definedName name="_RIV9b31dbc2a5b14650a50a0c7fc41cfeca" hidden="1">#REF!</definedName>
    <definedName name="_RIV9b38be7d2f2c4efa818c014478513b1e" hidden="1">#REF!</definedName>
    <definedName name="_RIV9b6d63ea3cf74edc83b69125fbadb0bf" hidden="1">#REF!</definedName>
    <definedName name="_RIV9c07bfb69eda4fd6ac1505645334c77c" hidden="1">#REF!</definedName>
    <definedName name="_RIV9c38f540332d4a9094fe862ab32cf065" hidden="1">#REF!</definedName>
    <definedName name="_RIV9c5d28e8ebdb4d6caf30c08c757e3e3a" hidden="1">#REF!</definedName>
    <definedName name="_RIV9c6c1f84effc45b7a6548f31853b66d2" hidden="1">#REF!</definedName>
    <definedName name="_RIV9c6e06414ea140508239f9ce391b59c8" hidden="1">#REF!</definedName>
    <definedName name="_RIV9c9a9b6e4105406baa5301aef2aa487d" hidden="1">#REF!</definedName>
    <definedName name="_RIV9c9b5ecf382f4adea9a5e7a1371b098f" hidden="1">#REF!</definedName>
    <definedName name="_RIV9c9dc878a1524f0281a43e9a00b3138c" hidden="1">#REF!</definedName>
    <definedName name="_RIV9cd4cf63d40b44a2ad7182640367a1fe" hidden="1">#REF!</definedName>
    <definedName name="_RIV9d5bc5e293f446a8b05c65e10e352289" hidden="1">#REF!</definedName>
    <definedName name="_RIV9dac2241a6d54eb9b19b01cda76b897b" hidden="1">#REF!</definedName>
    <definedName name="_RIV9dd558e2dcf7455ab1858d8ae22a5ed1" hidden="1">#REF!</definedName>
    <definedName name="_RIV9de2feefd28245a69bab043a2ec294b5" hidden="1">#REF!</definedName>
    <definedName name="_RIV9df1925659d2411b8c7651bb7db41248" hidden="1">#REF!</definedName>
    <definedName name="_RIV9dff92c2b93446528437f74fde35bb95" hidden="1">#REF!</definedName>
    <definedName name="_RIV9e01969df4ec4b949f6cdc71c7a454cf" hidden="1">#REF!</definedName>
    <definedName name="_RIV9e7976d9cdde4888ac5191d630de9b75" hidden="1">#REF!</definedName>
    <definedName name="_RIV9e86015668c044cab6dbe4e3a8bbaa7a" hidden="1">#REF!</definedName>
    <definedName name="_RIV9ea3aa63f7e4425199d549e1924bb057" hidden="1">#REF!</definedName>
    <definedName name="_RIV9eafd3fbe5b14dc197d52ebf45baa2bf" hidden="1">#REF!</definedName>
    <definedName name="_RIV9eccd1b870924af6a056ad7665880be9" hidden="1">#REF!</definedName>
    <definedName name="_RIV9ed1a45280e24eb285c9ba4a61ace2dc" hidden="1">#REF!</definedName>
    <definedName name="_RIV9edc54f82a8c4be0b4e91dfe9dcd2fac" hidden="1">#REF!</definedName>
    <definedName name="_RIV9ef036f0c86a457db029e699e1fcdf11" hidden="1">#REF!</definedName>
    <definedName name="_RIV9f175bf9b2f74efe8d9f79cb7ea22d11" hidden="1">#REF!</definedName>
    <definedName name="_RIV9f2c81ab8146458a83c78bf7d9cc7fb8" hidden="1">#REF!</definedName>
    <definedName name="_RIV9faad4d3b0284ea7b7de39a910fd10e8" hidden="1">#REF!</definedName>
    <definedName name="_RIVa05724285b4a45359b959ceba9069195" hidden="1">#REF!</definedName>
    <definedName name="_RIVa097c931aac34eecad36a8c44e3bf26d" hidden="1">#REF!</definedName>
    <definedName name="_RIVa11329adcd2d40dc82404576b3acf86c" hidden="1">#REF!</definedName>
    <definedName name="_RIVa160ff6e3fb14bce8f1881e54613f32c" hidden="1">#REF!</definedName>
    <definedName name="_RIVa1b6f80b7d524404879c8340a5251976" hidden="1">#REF!</definedName>
    <definedName name="_RIVa1cc59de5b034c34942c9022169ba332" hidden="1">#REF!</definedName>
    <definedName name="_RIVa1d4c2906e0340b0a86a5638b27ab62c" hidden="1">#REF!</definedName>
    <definedName name="_RIVa1e16a9471274a89a0216cd2f6ac52c9" hidden="1">#REF!</definedName>
    <definedName name="_RIVa1f078df8e7c4d17ababa09911b0076f" hidden="1">#REF!</definedName>
    <definedName name="_RIVa27978da810d46a6a06b70208056e1d0" hidden="1">#REF!</definedName>
    <definedName name="_RIVa2ccc27fcaf24831a25417aedded6769" hidden="1">#REF!</definedName>
    <definedName name="_RIVa2d97773cd0d46678ab19121683abf76" hidden="1">#REF!</definedName>
    <definedName name="_RIVa2f09cc3c08046e2bb6059ea0d4166db" hidden="1">#REF!</definedName>
    <definedName name="_RIVa36b085c75564eff87a54a84ba7c6e3c" hidden="1">#REF!</definedName>
    <definedName name="_RIVa4a2ed3d252448fd80ddc4d3ffb73c81" hidden="1">#REF!</definedName>
    <definedName name="_RIVa4b720c1ae2f42f8b79a1abad7abb255" hidden="1">#REF!</definedName>
    <definedName name="_RIVa5199fda123c451490043943490355b2" hidden="1">#REF!</definedName>
    <definedName name="_RIVa5277838d67144439bfbf78314549fb4" hidden="1">#REF!</definedName>
    <definedName name="_RIVa52ebabdacea4619a4bc7a6a1d424bd5" hidden="1">#REF!</definedName>
    <definedName name="_RIVa53d6053fa19423a94fe6815d22684ec" hidden="1">#REF!</definedName>
    <definedName name="_RIVa541fe7e33264266bf10c85b1389dcab" hidden="1">#REF!</definedName>
    <definedName name="_RIVa55c4b9d10b442e885ffa224b5dadfe7" hidden="1">#REF!</definedName>
    <definedName name="_RIVa57c606a902e43bfab2c46adaebb81e8" hidden="1">#REF!</definedName>
    <definedName name="_RIVa64b942873394e469c5d9f7688996e77" hidden="1">#REF!</definedName>
    <definedName name="_RIVa67b0ac037e7401a87cb0fa34b2cc2c3" hidden="1">#REF!</definedName>
    <definedName name="_RIVa6af5099fe9a46ff81688b733b7bed63" hidden="1">#REF!</definedName>
    <definedName name="_RIVa6f7f0fec23d488da5d205708e66323c" hidden="1">#REF!</definedName>
    <definedName name="_RIVa745404ef3f64870b018ecbc1c18499e" hidden="1">#REF!</definedName>
    <definedName name="_RIVa76977c90c5849ec8923c7853356caf6" hidden="1">#REF!</definedName>
    <definedName name="_RIVa79319df4747440fb3ca0ba71f197491" hidden="1">#REF!</definedName>
    <definedName name="_RIVa7aa7260be164a24b2d3fd9847b5df29" hidden="1">#REF!</definedName>
    <definedName name="_RIVa7afb09678744e72afea39327646054a" hidden="1">#REF!</definedName>
    <definedName name="_RIVa7b5dd8710614ccab24213e8a0c42269" hidden="1">#REF!</definedName>
    <definedName name="_RIVa7dbde3a67a140e38f7dd0900c7a75a7" hidden="1">#REF!</definedName>
    <definedName name="_RIVa7fa174f42664fab87b632aa4b21d132" hidden="1">#REF!</definedName>
    <definedName name="_RIVa84504ea3dfa41dd887fd197768a491c" hidden="1">#REF!</definedName>
    <definedName name="_RIVa87152350ec041688f9b1695a237027c" hidden="1">#REF!</definedName>
    <definedName name="_RIVa8e2087242ba4050b14dcba8a52f25c2" hidden="1">#REF!</definedName>
    <definedName name="_RIVa94e4d9e6cff4d2ab11dc194e6d0479e" hidden="1">#REF!</definedName>
    <definedName name="_RIVa95edfe875ec4a368cfd46e2e20f34aa" hidden="1">#REF!</definedName>
    <definedName name="_RIVa998d067df7d4b94956248333269a97a" hidden="1">#REF!</definedName>
    <definedName name="_RIVaa1ca8a9a8c44294b067f77525761fee" hidden="1">#REF!</definedName>
    <definedName name="_RIVaa4747296587494e8e22359ada28e067" hidden="1">#REF!</definedName>
    <definedName name="_RIVaade2313eec24ab0a3f6a17c7b18efc7" hidden="1">#REF!</definedName>
    <definedName name="_RIVab5e7c5c96714a46ad2d3ebfbe9ff2ff" hidden="1">#REF!</definedName>
    <definedName name="_RIVabd423ed7e4448e0bb122f7f9f17cdcc" hidden="1">#REF!</definedName>
    <definedName name="_RIVac5303391dc545eeaa1e183c74ef0613" hidden="1">#REF!</definedName>
    <definedName name="_RIVaca38eb424cf4d7997690a4e02b06ed7" hidden="1">#REF!</definedName>
    <definedName name="_RIVace64ac223d74f6f825618ff4e7d8a6d" hidden="1">#REF!</definedName>
    <definedName name="_RIVad24eb056697400c8dbbedb6b06fc8b0" hidden="1">#REF!</definedName>
    <definedName name="_RIVad4fe7a59ca74efba61786319c44893e" hidden="1">#REF!</definedName>
    <definedName name="_RIVad51f0e87115456dbd4a3e1d6cccb147" hidden="1">#REF!</definedName>
    <definedName name="_RIVad7da04845844b449aec4776f4ed99c5" hidden="1">#REF!</definedName>
    <definedName name="_RIVadc96164a69148baba0b0f151c90b825" hidden="1">#REF!</definedName>
    <definedName name="_RIVadfacb0155184322825246cc1ece4257" hidden="1">#REF!</definedName>
    <definedName name="_RIVae6039e845e946a89cbe1f255e3834c0" hidden="1">#REF!</definedName>
    <definedName name="_RIVae78e2e80ea64fb89795b0a287d723c5" hidden="1">#REF!</definedName>
    <definedName name="_RIVaef5113ac00d4b0182a157e497f65d75" hidden="1">#REF!</definedName>
    <definedName name="_RIVaf13a10c25b04b0aa95e4d64ab58d4b5" hidden="1">#REF!</definedName>
    <definedName name="_RIVaf58f44b5e20423fac46363c3fbe1047" hidden="1">#REF!</definedName>
    <definedName name="_RIVaf63165367514248abd144977b1db81a" hidden="1">#REF!</definedName>
    <definedName name="_RIVaf995d1941ea4cd8b2661a21358ab4d3" hidden="1">#REF!</definedName>
    <definedName name="_RIVafe92151ea184cdfa6fe7a7e225b69f8" hidden="1">#REF!</definedName>
    <definedName name="_RIVb07f8fc9e1bb4369bbd0f544f5aada54" hidden="1">#REF!</definedName>
    <definedName name="_RIVb085ca7cfd8744e6a76abf403d42d031" hidden="1">#REF!</definedName>
    <definedName name="_RIVb168e19053f14cf4a69fbe9aeec18f67" hidden="1">#REF!</definedName>
    <definedName name="_RIVb17d2be422e64fce8f0aef8461d219ae" hidden="1">#REF!</definedName>
    <definedName name="_RIVb1bbf9a3247f4ebb84fa7e4fbda19cbd" hidden="1">#REF!</definedName>
    <definedName name="_RIVb23e194921aa4210a71398fcd259e3d7" hidden="1">#REF!</definedName>
    <definedName name="_RIVb25e47e3578d4a9b871c31c605c527d6" hidden="1">#REF!</definedName>
    <definedName name="_RIVb25f3b34cdf44b358003049cc8c4a018" hidden="1">#REF!</definedName>
    <definedName name="_RIVb29d542959ff4530991b139601bb6cbf" hidden="1">#REF!</definedName>
    <definedName name="_RIVb2d2899db3624c8c92d18df5650703e3" hidden="1">#REF!</definedName>
    <definedName name="_RIVb2db7a054af3480396e535afa369f6c8" hidden="1">#REF!</definedName>
    <definedName name="_RIVb30d1fa5ee844dd9ab84fbdf8b5a3b20" hidden="1">#REF!</definedName>
    <definedName name="_RIVb32c4fa89f2d4e98b075d296d21b5650" hidden="1">#REF!</definedName>
    <definedName name="_RIVb3f133eaba7544aca6992bfcdf679838" hidden="1">#REF!</definedName>
    <definedName name="_RIVb3f60f225844477d90f1ac1b6f30a7aa" hidden="1">#REF!</definedName>
    <definedName name="_RIVb42e517f5376471cb82ed7c71519e737" hidden="1">#REF!</definedName>
    <definedName name="_RIVb431244fe5b84e98a63b280e47cd257f" hidden="1">#REF!</definedName>
    <definedName name="_RIVb4ef3cce783c46988742a20d4992c265" hidden="1">#REF!</definedName>
    <definedName name="_RIVb564051c80604c9aa8f146a397f1abad" hidden="1">#REF!</definedName>
    <definedName name="_RIVb5853171e60e420f8edeba551d87c103" hidden="1">#REF!</definedName>
    <definedName name="_RIVb5b24a9054864c2492c55ea83b2f0a2a" hidden="1">#REF!</definedName>
    <definedName name="_RIVb5da8c8f4b04497d85459bad9cbbb0bb" hidden="1">#REF!</definedName>
    <definedName name="_RIVb6177a9a662940c0b0d608f292de0e1e" hidden="1">#REF!</definedName>
    <definedName name="_RIVb642057bd37948fe9f83f2f273d6f32b" hidden="1">#REF!</definedName>
    <definedName name="_RIVb6cd66f72fde461ca199d2ebf66c3f92" hidden="1">#REF!</definedName>
    <definedName name="_RIVb71201c845f54a4d9623563a18fc2f6f" hidden="1">#REF!</definedName>
    <definedName name="_RIVb7827d6f9d06466a8e95dce744ad9a8e" hidden="1">#REF!</definedName>
    <definedName name="_RIVb7bcc286a71c46038f80d063b3068563" hidden="1">#REF!</definedName>
    <definedName name="_RIVb81f94a8e5424f8aa21ec6458344ff6a" hidden="1">#REF!</definedName>
    <definedName name="_RIVb86390ef119941d7bfc741af339526fc" hidden="1">#REF!</definedName>
    <definedName name="_RIVb86c003e7a5748539b56a16a2b14952b" hidden="1">#REF!</definedName>
    <definedName name="_RIVb8a6801a2e8441b497748321a6664095" hidden="1">#REF!</definedName>
    <definedName name="_RIVb8f133392b774084893944518baab05c" hidden="1">#REF!</definedName>
    <definedName name="_RIVb916e53ef7c3464c8f7ebd1f78a048f5" hidden="1">#REF!</definedName>
    <definedName name="_RIVb97b6afcef6749819f5b4558433f62c0" hidden="1">#REF!</definedName>
    <definedName name="_RIVb997b481e9564a94adf597c49b825660" hidden="1">#REF!</definedName>
    <definedName name="_RIVb9a53d16f4054ba3a09d5fe0b26348c3" hidden="1">#REF!</definedName>
    <definedName name="_RIVba307ddd6d9e4d208633332fd625f828" hidden="1">#REF!</definedName>
    <definedName name="_RIVba321795929f4f7ea0598794fc58d15d" hidden="1">#REF!</definedName>
    <definedName name="_RIVba417558075c479cbcf2fac2fa422761" hidden="1">#REF!</definedName>
    <definedName name="_RIVba5e2697efbe4e16881e4d425a6bb58b" hidden="1">#REF!</definedName>
    <definedName name="_RIVbaa2dad340d14a66acb0559eb8c04399" hidden="1">#REF!</definedName>
    <definedName name="_RIVbadeeb74af3947048f7ef186c401f268" hidden="1">#REF!</definedName>
    <definedName name="_RIVbb0920d3e7094ae3a3dbf828ce019808" hidden="1">#REF!</definedName>
    <definedName name="_RIVbb18aa40f78246ffa6b6f0f4968de69d" hidden="1">#REF!</definedName>
    <definedName name="_RIVbb288d8b332f41e7b2749c314bbf08c5" hidden="1">#REF!</definedName>
    <definedName name="_RIVbb4ebdb6d01147bf880eda2a0cd9c9e6" hidden="1">#REF!</definedName>
    <definedName name="_RIVbbc6a91899e0467f859a9b7744b86c65" hidden="1">#REF!</definedName>
    <definedName name="_RIVbc0404ed29024611afad00c44d827f88" hidden="1">#REF!</definedName>
    <definedName name="_RIVbd66b2917adc42269e63c184b8cfd0ef" hidden="1">#REF!</definedName>
    <definedName name="_RIVbd8ee64401884665b9e21dc701780bbe" hidden="1">#REF!</definedName>
    <definedName name="_RIVbdb52ef9b42a4deb96975e9068e46cbf" hidden="1">#REF!</definedName>
    <definedName name="_RIVbdb849b5bc234588ace2f5582cbf4396" hidden="1">#REF!</definedName>
    <definedName name="_RIVbdcdf068cb3f46939f55339a9d120029" hidden="1">#REF!</definedName>
    <definedName name="_RIVbe232e02dc3c40a68da97c0b397551a5" hidden="1">#REF!</definedName>
    <definedName name="_RIVbe2accf7a9bd40e49f30bad90a6c6496" hidden="1">#REF!</definedName>
    <definedName name="_RIVbe3048bb8a094f1a9180a93997a8f16d" hidden="1">#REF!</definedName>
    <definedName name="_RIVbe33ee0e83c8432bbb1f68c2ef1663f1" hidden="1">#REF!</definedName>
    <definedName name="_RIVbe4ca734dd4f43df9986c956df2d902a" hidden="1">#REF!</definedName>
    <definedName name="_RIVbe7118d41cc74b0a932f3f42efe72d2e" hidden="1">#REF!</definedName>
    <definedName name="_RIVbe7b879f0b85497bb1fed3fa81056211" hidden="1">#REF!</definedName>
    <definedName name="_RIVbe85a7d087a64b60b6d18363cec35900" hidden="1">#REF!</definedName>
    <definedName name="_RIVbea2913a2dd54fd8956b847f4060be4c" hidden="1">#REF!</definedName>
    <definedName name="_RIVbef5618e88964f3bae5a05ce3b6e4766" hidden="1">#REF!</definedName>
    <definedName name="_RIVbf86a014defc41d0b3977a5f181f7ec5" hidden="1">#REF!</definedName>
    <definedName name="_RIVbf89ff46b6884818b7e66e5367566435" hidden="1">#REF!</definedName>
    <definedName name="_RIVbf8c3d2efc244106b364bc535937c424" hidden="1">#REF!</definedName>
    <definedName name="_RIVbfca9f1e21d6499ca0c5fad8a07b8079" hidden="1">#REF!</definedName>
    <definedName name="_RIVbffbac1294b34a308dd966008810e40b" hidden="1">#REF!</definedName>
    <definedName name="_RIVc037dee2d23e45d98d50367b4765fcb8" hidden="1">#REF!</definedName>
    <definedName name="_RIVc03862ca18fc4bdc9ffa9da81f9460ce" hidden="1">#REF!</definedName>
    <definedName name="_RIVc040d3ab892548c5a6eb2e0ee09549bb" hidden="1">#REF!</definedName>
    <definedName name="_RIVc09c58c8737a4539a12795d2f84ff0ce" hidden="1">#REF!</definedName>
    <definedName name="_RIVc0a8a8e15cc342b3a15dffc1269f6782" hidden="1">#REF!</definedName>
    <definedName name="_RIVc1179723d19c472498b1aeb77fa5df2d" hidden="1">#REF!</definedName>
    <definedName name="_RIVc1a7958b7767480dafdde7c44f57797f" hidden="1">#REF!</definedName>
    <definedName name="_RIVc1dbd90a7f90407aa758e0220f72d115" hidden="1">#REF!</definedName>
    <definedName name="_RIVc2352fbf473c4fcfb5790cc0769791d9" hidden="1">#REF!</definedName>
    <definedName name="_RIVc25eba5b56844e719d46882466c4325e" hidden="1">#REF!</definedName>
    <definedName name="_RIVc2b28d497d65469281d02b7702ed0bd4" hidden="1">#REF!</definedName>
    <definedName name="_RIVc2baf86e57bc407abcb6c8e4d60fdae5" hidden="1">#REF!</definedName>
    <definedName name="_RIVc2c6fe31145b4026acaddf5f9d140b34" hidden="1">#REF!</definedName>
    <definedName name="_RIVc2d72d86b965444e9de21adbcfc2b03a" hidden="1">#REF!</definedName>
    <definedName name="_RIVc2e67ab8871841c59015fbbe4253ab2c" hidden="1">#REF!</definedName>
    <definedName name="_RIVc32da9318c5a4c2b837a028d4099aa9f" hidden="1">#REF!</definedName>
    <definedName name="_RIVc335cbd7faa048a09356e3de38f90e82" hidden="1">#REF!</definedName>
    <definedName name="_RIVc38e96deff28458a8367cb3ec6062b89" hidden="1">#REF!</definedName>
    <definedName name="_RIVc3cc7e70c37d48c6a045ff233f1edd54" hidden="1">#REF!</definedName>
    <definedName name="_RIVc40e243909824e2c914b50bfb0bd323d" hidden="1">#REF!</definedName>
    <definedName name="_RIVc45bf3587ac34adba3fe90ae0b3d3b4c" hidden="1">#REF!</definedName>
    <definedName name="_RIVc51b4a1942af45029aaeb8e9dc0417b6" hidden="1">#REF!</definedName>
    <definedName name="_RIVc53e0abf87b649a0a9c4cacdef604e5e" hidden="1">#REF!</definedName>
    <definedName name="_RIVc5565ab0abee47b481897f9d14e2f1fd" hidden="1">#REF!</definedName>
    <definedName name="_RIVc568ac06ccdf446e9a955ae488ddff06" hidden="1">#REF!</definedName>
    <definedName name="_RIVc56cd0f5f86c4e8d9435e8fcd8a9ff4c" hidden="1">#REF!</definedName>
    <definedName name="_RIVc5c8287f90934659b3719cc10fd4be47" hidden="1">#REF!</definedName>
    <definedName name="_RIVc5cef4adc66846549f299c207abd8f71" hidden="1">#REF!</definedName>
    <definedName name="_RIVc5f55d8d9b5c424ba7748517dafef4fb" hidden="1">#REF!</definedName>
    <definedName name="_RIVc61219538dcb478daa86b9647c4bebd6" hidden="1">#REF!</definedName>
    <definedName name="_RIVc670d7c0ce634a7d993d379f5d8e370c" hidden="1">#REF!</definedName>
    <definedName name="_RIVc6b32c80325c48f1881400890b48c28d" hidden="1">#REF!</definedName>
    <definedName name="_RIVc6f730a39ff446ef8fda00c3f4767d95" hidden="1">#REF!</definedName>
    <definedName name="_RIVc76bad4f38c241a4a7ed306d021ffb8c" hidden="1">#REF!</definedName>
    <definedName name="_RIVc778bf2792984f68aec5d03547d2fe80" hidden="1">#REF!</definedName>
    <definedName name="_RIVc7a40d15c1f7468eb824ee813af530ae" hidden="1">#REF!</definedName>
    <definedName name="_RIVc7ac496b81e44636ac3560ad34cc4bc9" hidden="1">#REF!</definedName>
    <definedName name="_RIVc7c255b1a53f4504bc069ded9bdc1372" hidden="1">#REF!</definedName>
    <definedName name="_RIVc8756ef18a574aaf858a35a74f9fae8f" hidden="1">#REF!</definedName>
    <definedName name="_RIVc88d57f5141247dcb9a3348dfb1fd5e9" hidden="1">#REF!</definedName>
    <definedName name="_RIVc8d90866f43248f39d1621df7f756e98" hidden="1">#REF!</definedName>
    <definedName name="_RIVc91a3eae627e41afbb5ced469e589676" hidden="1">#REF!</definedName>
    <definedName name="_RIVc9a185ce0a6c4a71adef235efe1e0cb1" hidden="1">#REF!</definedName>
    <definedName name="_RIVc9d080dc93ef4e02848b59035969301a" hidden="1">#REF!</definedName>
    <definedName name="_RIVc9dd1371bae544a1bab5e25ce027a493" hidden="1">#REF!</definedName>
    <definedName name="_RIVc9ea67dd9c67435bbbfe123553d45e96" hidden="1">#REF!</definedName>
    <definedName name="_RIVca05c3f439974a6982c5866e9195f60c" hidden="1">#REF!</definedName>
    <definedName name="_RIVca28aa02cbdf4288824fabb1177accbf" hidden="1">#REF!</definedName>
    <definedName name="_RIVca3cad1ac7c84321b1362305eaa90dfa" hidden="1">#REF!</definedName>
    <definedName name="_RIVcadd22fbfe9d4a1484e89b52c5d1508b" hidden="1">#REF!</definedName>
    <definedName name="_RIVcafee3c192984f3cb28bc1d85241ab29" hidden="1">#REF!</definedName>
    <definedName name="_RIVcb4c6d50bef0404a9d3d13809be05dbc" hidden="1">#REF!</definedName>
    <definedName name="_RIVcb91ab15909c4eb58821392a09baad4b" hidden="1">#REF!</definedName>
    <definedName name="_RIVcbc7fcc7ab2242e3a17804840fe10399" hidden="1">#REF!</definedName>
    <definedName name="_RIVcc06e02f2fbf48ad9f9195ff5d025f89" hidden="1">#REF!</definedName>
    <definedName name="_RIVccd6813c9d444406aaf98f2c778615ae" hidden="1">#REF!</definedName>
    <definedName name="_RIVccf93041aeda43e9b63086ca8af782dd" hidden="1">#REF!</definedName>
    <definedName name="_RIVcd0d5d43cb734b78b8ebd4f59f2147b7" hidden="1">#REF!</definedName>
    <definedName name="_RIVcd16e2cddd6543fb811be6a52b9275cb" hidden="1">#REF!</definedName>
    <definedName name="_RIVcd85348a30ea4ec3b5251d9490b8e195" hidden="1">#REF!</definedName>
    <definedName name="_RIVcdd6d0027e114d57bc9ff66c856c425d" hidden="1">#REF!</definedName>
    <definedName name="_RIVce408d9679d84c4d8858a68aac8101de" hidden="1">#REF!</definedName>
    <definedName name="_RIVce42b10f6c0843728ff7ab6883e511a3" hidden="1">#REF!</definedName>
    <definedName name="_RIVce615362ca9844e59bf8b9ed1885d0a6" hidden="1">#REF!</definedName>
    <definedName name="_RIVceaef72c94cc4807a2c017c860f8beda" hidden="1">#REF!</definedName>
    <definedName name="_RIVcf1b5db842f841df9b4cf1c5d18c5d6f" hidden="1">#REF!</definedName>
    <definedName name="_RIVcf500f3307ed4cda817b3e3afb739110" hidden="1">#REF!</definedName>
    <definedName name="_RIVcf7998acc4e44e9c88f070c53c598db1" hidden="1">#REF!</definedName>
    <definedName name="_RIVcfa1344b73084f20ab57843c728c00b1" hidden="1">#REF!</definedName>
    <definedName name="_RIVd09afd58222342548d4b82347a9febfc" hidden="1">#REF!</definedName>
    <definedName name="_RIVd1282b97090c452d876e994588ad356e" hidden="1">#REF!</definedName>
    <definedName name="_RIVd159ab1be37c4aee9a870b755de5d5cd" hidden="1">#REF!</definedName>
    <definedName name="_RIVd204030d9b154afe8d9a3ce1223dfaf6" hidden="1">#REF!</definedName>
    <definedName name="_RIVd20a12efc5644dfebb79573a56b23a1f" hidden="1">#REF!</definedName>
    <definedName name="_RIVd23c9ced8e82474bbf11e566ca27a8ad" hidden="1">#REF!</definedName>
    <definedName name="_RIVd2465abaefbf467d85f8fc400e792c61" hidden="1">#REF!</definedName>
    <definedName name="_RIVd27377add7e24c20ae063a298f47b845" hidden="1">#REF!</definedName>
    <definedName name="_RIVd27d7eb236de4ced8f9db4485e3a7da8" hidden="1">#REF!</definedName>
    <definedName name="_RIVd2879516d0a74874b5c79d01c99569fc" hidden="1">#REF!</definedName>
    <definedName name="_RIVd30fac79c6b1468e88d9e1bbb3df1607" hidden="1">#REF!</definedName>
    <definedName name="_RIVd32da24113e24d0fadfa3190b27add76" hidden="1">#REF!</definedName>
    <definedName name="_RIVd32f90548cb2458eb3863f06a00aaad4" hidden="1">#REF!</definedName>
    <definedName name="_RIVd3852e0a4986447e976033985b3d7181" hidden="1">#REF!</definedName>
    <definedName name="_RIVd3ae054c865640ccb0e0304e21612fd5" hidden="1">#REF!</definedName>
    <definedName name="_RIVd3eaa57932ab4dd1bbee76c220e48e1c" hidden="1">#REF!</definedName>
    <definedName name="_RIVd3f9ebbcc7ae48da8cf29bf1610c664b" hidden="1">#REF!</definedName>
    <definedName name="_RIVd42202d6dbf54f02904e950ca2224368" hidden="1">#REF!</definedName>
    <definedName name="_RIVd430181b501642309bcacd99242ef89f" hidden="1">#REF!</definedName>
    <definedName name="_RIVd4492eb9a1fd4aceb87f741e88b2942f" hidden="1">#REF!</definedName>
    <definedName name="_RIVd4d3426ff80d4be69e95d1ae047282fe" hidden="1">#REF!</definedName>
    <definedName name="_RIVd4d478069eaf48a79f242fab1c0383a2" hidden="1">#REF!</definedName>
    <definedName name="_RIVd5180fc5116e4edaa9fb09a2e013fb43" hidden="1">#REF!</definedName>
    <definedName name="_RIVd58d35825f1d49cab01222514f370a3f" hidden="1">#REF!</definedName>
    <definedName name="_RIVd61ae5bfce4f4588b5fb2b3540d9cb8d" hidden="1">#REF!</definedName>
    <definedName name="_RIVd65b2717985648df872840c3a75299f7" hidden="1">#REF!</definedName>
    <definedName name="_RIVd668a5f4a7324ac0bfc00a3d75383c29" hidden="1">#REF!</definedName>
    <definedName name="_RIVd6751098c3bc438282dad9d9484fb45c" hidden="1">#REF!</definedName>
    <definedName name="_RIVd67d66286d8548dcadbedf0249da5feb" hidden="1">#REF!</definedName>
    <definedName name="_RIVd684716d5ad245669af2ac409250e22f" hidden="1">#REF!</definedName>
    <definedName name="_RIVd6959347ab7444a7985bc669b50b5ad8" hidden="1">#REF!</definedName>
    <definedName name="_RIVd71f374a8a3448c49dc421361cb46321" hidden="1">#REF!</definedName>
    <definedName name="_RIVd733385648674df380b8a006448c13e8" hidden="1">#REF!</definedName>
    <definedName name="_RIVd74e6159ded94e73a17ce2fc6a1cf2b9" hidden="1">#REF!</definedName>
    <definedName name="_RIVd75d7d1edf9c4d0f9ac7a0da142ad46d" hidden="1">#REF!</definedName>
    <definedName name="_RIVd78518cdeca74d21addfad08bc2f4d15" hidden="1">#REF!</definedName>
    <definedName name="_RIVd78e308315ba4b13b6c532e346232500" hidden="1">#REF!</definedName>
    <definedName name="_RIVd7ad03df8a3c47d4a142e5f0d813d700" hidden="1">#REF!</definedName>
    <definedName name="_RIVd7c3d7a4bc7449a2a62dd87d70e266fb" hidden="1">#REF!</definedName>
    <definedName name="_RIVd82d011861314de58d36d61037ff2c7c" hidden="1">#REF!</definedName>
    <definedName name="_RIVd839d51c3452488b9a91cadbd359101f" hidden="1">#REF!</definedName>
    <definedName name="_RIVd8484883fca14a9cb4944cdd5013358b" hidden="1">#REF!</definedName>
    <definedName name="_RIVd86123366a884b66a852fd9a6af3f826" hidden="1">#REF!</definedName>
    <definedName name="_RIVd86ccf4435b847f484b6d9961ce0ea77" hidden="1">#REF!</definedName>
    <definedName name="_RIVd8cfe800d7844e7a97a53dd482dd02af" hidden="1">#REF!</definedName>
    <definedName name="_RIVd94598f27ebc4a0e91ea1d6b5dae0840" hidden="1">#REF!</definedName>
    <definedName name="_RIVd9696e08c03d48b49e142ff84574937d" hidden="1">#REF!</definedName>
    <definedName name="_RIVd9ed763ca8494b759aa2efed426da471" hidden="1">#REF!</definedName>
    <definedName name="_RIVda01d13e516e48e0accb973466890c0f" hidden="1">#REF!</definedName>
    <definedName name="_RIVda7035d281e64d339b00e80592459cfe" hidden="1">#REF!</definedName>
    <definedName name="_RIVda81c54ba72a45cbb814e8f7f2dbf220" hidden="1">#REF!</definedName>
    <definedName name="_RIVdaba1c0d1d8f48a7a12c5e8808bc1ac5" hidden="1">#REF!</definedName>
    <definedName name="_RIVdafd464fd73f49dca8cd2960a45d80dc" hidden="1">#REF!</definedName>
    <definedName name="_RIVdafde419c1cc4c08a5cbec7122480b9e" hidden="1">#REF!</definedName>
    <definedName name="_RIVdb475d184b4141cfa852a2a3adf5a5f6" hidden="1">#REF!</definedName>
    <definedName name="_RIVdb6b6bcfd9e9498289c3037e3772d114" hidden="1">#REF!</definedName>
    <definedName name="_RIVdbb4e90057864112b0ab1d22e16c669d" hidden="1">#REF!</definedName>
    <definedName name="_RIVdc77418f60b94ef0af969d1888c197fc" hidden="1">#REF!</definedName>
    <definedName name="_RIVdd62f45368f24a80853241b7388cba5d" hidden="1">#REF!</definedName>
    <definedName name="_RIVdd9d8f76c1f04cef807d9ba3adbad8ec" hidden="1">#REF!</definedName>
    <definedName name="_RIVddc5efae8e5b4097af3c9bbb6a43c310" hidden="1">#REF!</definedName>
    <definedName name="_RIVddd7a3f09fcd4f29b2867acf48de55d8" hidden="1">#REF!</definedName>
    <definedName name="_RIVddf4a20a2789498199600e58dd97b8d3" hidden="1">#REF!</definedName>
    <definedName name="_RIVde029dfe7af847fe9b20244cfb511699" hidden="1">#REF!</definedName>
    <definedName name="_RIVde5c149b63c846b8a1fb6568fa010079" hidden="1">#REF!</definedName>
    <definedName name="_RIVde720548e77e4688a9420da76cdff5c0" hidden="1">#REF!</definedName>
    <definedName name="_RIVde9086118421410783f9a3c369c09a68" hidden="1">#REF!</definedName>
    <definedName name="_RIVdf134d44e2b44370a35bb6aa19465814" hidden="1">#REF!</definedName>
    <definedName name="_RIVdf6276e56e364f5ab04c2afac6192b3b" hidden="1">#REF!</definedName>
    <definedName name="_RIVdf9f9c1c7ad7486995c77067cf5cd3f3" hidden="1">#REF!</definedName>
    <definedName name="_RIVe04929619dac4f909fd9ba25388219ca" hidden="1">#REF!</definedName>
    <definedName name="_RIVe074febad5b443b08fb84552ce0f4e64" hidden="1">#REF!</definedName>
    <definedName name="_RIVe0beaa06bc104b1dad2758e0e4ca830c" hidden="1">#REF!</definedName>
    <definedName name="_RIVe0d4344be38f43fa9cf36d26f767b86b" hidden="1">#REF!</definedName>
    <definedName name="_RIVe0d74a98f8844a7689c1cb1c06187a46" hidden="1">#REF!</definedName>
    <definedName name="_RIVe0f84ab34bbc4e8f92bd05be5ce851e2" hidden="1">#REF!</definedName>
    <definedName name="_RIVe107383a79fa48c2952cd142aad743a6" hidden="1">#REF!</definedName>
    <definedName name="_RIVe136bb9a861b47a48be8ee7affbde342" hidden="1">#REF!</definedName>
    <definedName name="_RIVe16475902529427f8bcffca6978766b3" hidden="1">#REF!</definedName>
    <definedName name="_RIVe17c3ebf68814a66ac7fe9937c11cb31" hidden="1">#REF!</definedName>
    <definedName name="_RIVe19013747c9f449a948711572d3b8218" hidden="1">#REF!</definedName>
    <definedName name="_RIVe1d24db2822746d9938d0fae9c0cd2a5" hidden="1">#REF!</definedName>
    <definedName name="_RIVe1fff1e6a3b2477da52884b676f1bbc1" hidden="1">#REF!</definedName>
    <definedName name="_RIVe20986794a764e7ab91a987c5c671fb1" hidden="1">#REF!</definedName>
    <definedName name="_RIVe21501cd87e04cb7b51d22cdd5253189" hidden="1">#REF!</definedName>
    <definedName name="_RIVe278215899fe47cc954a51d875c6f366" hidden="1">#REF!</definedName>
    <definedName name="_RIVe2a3161e48b8424a9d291b01e40cc395" hidden="1">#REF!</definedName>
    <definedName name="_RIVe34395d4872d4934b7f6ef90a7f5d26d" hidden="1">#REF!</definedName>
    <definedName name="_RIVe374b73d709b40c89444dd50daa99470" hidden="1">#REF!</definedName>
    <definedName name="_RIVe391ff1e59d24e9fbbdc49f2fcca9da6" hidden="1">#REF!</definedName>
    <definedName name="_RIVe3b4e99315994b8492a6b44ecec772db" hidden="1">#REF!</definedName>
    <definedName name="_RIVe3f80df969cc4f2f8926c7d73067a028" hidden="1">#REF!</definedName>
    <definedName name="_RIVe3fea4c3b34248b0965c9b88b2d795ae" hidden="1">#REF!</definedName>
    <definedName name="_RIVe42183846b624595a65faeb9ada16787" hidden="1">#REF!</definedName>
    <definedName name="_RIVe42b9c9f32684af0897682dbe014fe53" hidden="1">#REF!</definedName>
    <definedName name="_RIVe446397a8ed64f3d9de1193e37da7843" hidden="1">#REF!</definedName>
    <definedName name="_RIVe45bff6b12a0416486f9b1d5adf81ae8" hidden="1">#REF!</definedName>
    <definedName name="_RIVe4952c463ad74c0b8642476910445986" hidden="1">#REF!</definedName>
    <definedName name="_RIVe4de209464df4f9f8111ee3dd913ded9" hidden="1">#REF!</definedName>
    <definedName name="_RIVe4ea341c43bd4cc9805f6e5fd0b3ff86" hidden="1">#REF!</definedName>
    <definedName name="_RIVe537109df6f34eba99c2ebc16f710c27" hidden="1">#REF!</definedName>
    <definedName name="_RIVe5532d0d857f461583229f9bb51d33c8" hidden="1">#REF!</definedName>
    <definedName name="_RIVe560bbee492844b8ae59dd7c7491f8b1" hidden="1">#REF!</definedName>
    <definedName name="_RIVe58e95086b884409b5fb760305bd5b60" hidden="1">#REF!</definedName>
    <definedName name="_RIVe5b627ad43914c3d9b48a711e70cf584" hidden="1">#REF!</definedName>
    <definedName name="_RIVe5b677dc4bb044b2b52a477c67b1f3a1" hidden="1">#REF!</definedName>
    <definedName name="_RIVe5cf4e2f70fe4dd3bd5f6b0f8a10ecc9" hidden="1">#REF!</definedName>
    <definedName name="_RIVe5e3dab0559e45b0995a9b0fedcedc81" hidden="1">#REF!</definedName>
    <definedName name="_RIVe5f986ad565e4e2789c54e57a1c21218" hidden="1">#REF!</definedName>
    <definedName name="_RIVe60b2ddc281247e5a5394c8dd9e285d7" hidden="1">#REF!</definedName>
    <definedName name="_RIVe61253bdcd8f43119773b2f3b9f6ca8b" hidden="1">#REF!</definedName>
    <definedName name="_RIVe665f4dde177400a93a0e4a4916ca38e" hidden="1">#REF!</definedName>
    <definedName name="_RIVe66931c3c6b84c50961df1a90df51c43" hidden="1">#REF!</definedName>
    <definedName name="_RIVe6813a860a6449669b28c9534e3709ca" hidden="1">#REF!</definedName>
    <definedName name="_RIVe6986c216f064cd79b7084eff545728e" hidden="1">#REF!</definedName>
    <definedName name="_RIVe6baddaae4cb4e3d8e53fd584170d500" hidden="1">#REF!</definedName>
    <definedName name="_RIVe6f5468a28104814865fbdba347d31a5" hidden="1">#REF!</definedName>
    <definedName name="_RIVe714d75ecc5e46fea04f98251aac6117" hidden="1">#REF!</definedName>
    <definedName name="_RIVe740e8af60b942b68e3e3294e73c3fd5" hidden="1">#REF!</definedName>
    <definedName name="_RIVe75586f21e3c4fe2bb2ee850dcc85dbc" hidden="1">#REF!</definedName>
    <definedName name="_RIVe79678d7650545d89deb170715c74bcb" hidden="1">#REF!</definedName>
    <definedName name="_RIVe7ad1ca3b6d9462888dc22cca564354e" hidden="1">#REF!</definedName>
    <definedName name="_RIVe7d1c61b4be240d79ea70fa49bb4d9ff" hidden="1">#REF!</definedName>
    <definedName name="_RIVe7d816a9f39d4285bc343774704cc57e" hidden="1">#REF!</definedName>
    <definedName name="_RIVe93f319d85294e89be19999394a9212e" hidden="1">#REF!</definedName>
    <definedName name="_RIVe98947c750464830b4355673cb02045a" hidden="1">#REF!</definedName>
    <definedName name="_RIVe9ce33f276354c38b5403fd4c6e32aef" hidden="1">#REF!</definedName>
    <definedName name="_RIVe9dcae0674fa4270a472863cf46fee05" hidden="1">#REF!</definedName>
    <definedName name="_RIVe9e4d1595e6b408c82e042fba22b2917" hidden="1">#REF!</definedName>
    <definedName name="_RIVe9fa86e01658473888552295f6eacf33" hidden="1">#REF!</definedName>
    <definedName name="_RIVea38b18aa6f745cfbc5a2e77158cee2a" hidden="1">#REF!</definedName>
    <definedName name="_RIVea573caa73504aa185a7b9002ffe5999" hidden="1">#REF!</definedName>
    <definedName name="_RIVea8141fb9f1c4b319bd1239e2dc33509" hidden="1">#REF!</definedName>
    <definedName name="_RIVeb41707242114db4b6e2a8e3d4159561" hidden="1">#REF!</definedName>
    <definedName name="_RIVeb7e3b8b5bcd490ea0605b57f25f268d" hidden="1">#REF!</definedName>
    <definedName name="_RIVeb9d22aa93b447a791351d5620f650c3" hidden="1">#REF!</definedName>
    <definedName name="_RIVebb9b3a5cb41460ab568156cb2f91bab" hidden="1">#REF!</definedName>
    <definedName name="_RIVebf6d10956c5414f9ac73e3b1d602014" hidden="1">#REF!</definedName>
    <definedName name="_RIVebfc9af2c1b14c21b06129f795cffce8" hidden="1">#REF!</definedName>
    <definedName name="_RIVec02022fb9594128a737b93ad789a9c2" hidden="1">#REF!</definedName>
    <definedName name="_RIVec443a0b7c9248228add8f6c239dc65c" hidden="1">#REF!</definedName>
    <definedName name="_RIVec5aa1a22f2f49c59bb039d5fa72b57c" hidden="1">#REF!</definedName>
    <definedName name="_RIVec5bdb9ec7784002bd3d0ffe719778ba" hidden="1">#REF!</definedName>
    <definedName name="_RIVec6e6a5ab03f4260b5bbd3920b23add5" hidden="1">#REF!</definedName>
    <definedName name="_RIVec90077b6f14486db8ec51596002cacf" hidden="1">#REF!</definedName>
    <definedName name="_RIVecb2b923db654c6fbb0a704973caab7c" hidden="1">#REF!</definedName>
    <definedName name="_RIVecc8e98c7c6b4e6db0ea91b9da0205da" hidden="1">#REF!</definedName>
    <definedName name="_RIVecd773a5acfb4ab3b54e7cd17e37f491" hidden="1">#REF!</definedName>
    <definedName name="_RIVece003676a7b499188551e05b8a8f47b" hidden="1">#REF!</definedName>
    <definedName name="_RIVece3309043894d369227e032a3e7820e" hidden="1">#REF!</definedName>
    <definedName name="_RIVed33695f7e0647a6b1102bf44304d983" hidden="1">#REF!</definedName>
    <definedName name="_RIVed44a655675e41a4ba69f398b284c626" hidden="1">#REF!</definedName>
    <definedName name="_RIVed4cb58033844b8f855bee704cd14a42" hidden="1">#REF!</definedName>
    <definedName name="_RIVed7e09a992f546b28a4788f0b67f2d30" hidden="1">#REF!</definedName>
    <definedName name="_RIVedb8339bd3bd4d0084f75f08ed2971a8" hidden="1">#REF!</definedName>
    <definedName name="_RIVedd297a1eae84bae8b3b9521731be424" hidden="1">#REF!</definedName>
    <definedName name="_RIVee21c896200d438bb90c527bcb92f9e3" hidden="1">#REF!</definedName>
    <definedName name="_RIVee715010cf6c4b74a1d7e1146fae3b4f" hidden="1">#REF!</definedName>
    <definedName name="_RIVee914f771f284f44989a0d4397f31004" hidden="1">#REF!</definedName>
    <definedName name="_RIVee91c5f3f1244168a313f82bb49c6519" hidden="1">#REF!</definedName>
    <definedName name="_RIVeea4a1eb9269465996a92d865076a579" hidden="1">#REF!</definedName>
    <definedName name="_RIVef3e18ea19974b42a982a01a0a0071b0" hidden="1">#REF!</definedName>
    <definedName name="_RIVef5d411808f940aa9e3cd91a69090d35" hidden="1">#REF!</definedName>
    <definedName name="_RIVef998dbc1aca4bf2a132c5a220107b6f" hidden="1">#REF!</definedName>
    <definedName name="_RIVefccc9048ea643ad9e29ec7e9642f810" hidden="1">#REF!</definedName>
    <definedName name="_RIVf005b2c55c7044c9bfb990b2dc51e91b" hidden="1">#REF!</definedName>
    <definedName name="_RIVf0118ef18636452997597ea130b6e7fb" hidden="1">#REF!</definedName>
    <definedName name="_RIVf0344591cc584078a366b81904a4ed60" hidden="1">#REF!</definedName>
    <definedName name="_RIVf0c989c1ef3a4862b4ddd86532ab5d8c" hidden="1">#REF!</definedName>
    <definedName name="_RIVf13d05e38dad45239985cd7fca882558" hidden="1">#REF!</definedName>
    <definedName name="_RIVf19d1087a53c411e8f45e3c2576af771" hidden="1">#REF!</definedName>
    <definedName name="_RIVf1c079ae34fc4eeda1774156acfcf7b0" hidden="1">#REF!</definedName>
    <definedName name="_RIVf1c3492a81844fdf882fbec3004ef689" hidden="1">#REF!</definedName>
    <definedName name="_RIVf22e05417b774194adad39fe7d30d2d6" hidden="1">#REF!</definedName>
    <definedName name="_RIVf27ecaec52ca4ae181dbaeb47bf8cccd" hidden="1">#REF!</definedName>
    <definedName name="_RIVf2b4a01ae1fa42ea844e91d8fbd91bc3" hidden="1">#REF!</definedName>
    <definedName name="_RIVf2dff1ee385c4d398f9011d00f5eb91a" hidden="1">#REF!</definedName>
    <definedName name="_RIVf2f5e20ac1494f57bff2ef4940130354" hidden="1">#REF!</definedName>
    <definedName name="_RIVf30392b07b514d7f8819391a41bd6834" hidden="1">#REF!</definedName>
    <definedName name="_RIVf31c942010e14b99be4c8a0aca336f5b" hidden="1">#REF!</definedName>
    <definedName name="_RIVf35e98ca25d74f8a955c264cc0466237" hidden="1">#REF!</definedName>
    <definedName name="_RIVf3920ae5c1b1430e907fe2f4e8554699" hidden="1">#REF!</definedName>
    <definedName name="_RIVf3977bf16cfa463b9ba3d48da9b9af60" hidden="1">#REF!</definedName>
    <definedName name="_RIVf3e63266687a4b818d93fdc3d95c53ab" hidden="1">#REF!</definedName>
    <definedName name="_RIVf41df36c0636439f880c8cbaa05f9631" hidden="1">#REF!</definedName>
    <definedName name="_RIVf44099c602764818ac5791b7cee7f942" hidden="1">#REF!</definedName>
    <definedName name="_RIVf4ca167b380248a5a5f62f2095ea2b50" hidden="1">#REF!</definedName>
    <definedName name="_RIVf52db5c0fc9842929768b8a1162ff8a1" hidden="1">#REF!</definedName>
    <definedName name="_RIVf58051943249425cb75873aa98505f44" hidden="1">#REF!</definedName>
    <definedName name="_RIVf60f925d8e3148138b791fa686d5442c" hidden="1">#REF!</definedName>
    <definedName name="_RIVf6c7b65e59014f6da1618679c0e59dcc" hidden="1">#REF!</definedName>
    <definedName name="_RIVf6f254db377946fea3a1b77b6a12de1b" hidden="1">#REF!</definedName>
    <definedName name="_RIVf710291c45344260afe55a75d280244a" hidden="1">#REF!</definedName>
    <definedName name="_RIVf757ce2c8cf84917b674bbd523a18840" hidden="1">#REF!</definedName>
    <definedName name="_RIVf763f0aac04948fb9e12823fa6ad0fd3" hidden="1">#REF!</definedName>
    <definedName name="_RIVf777d39c42c34310915eaf565845c067" hidden="1">#REF!</definedName>
    <definedName name="_RIVf7a288c0ad5f4c6ba66bd61272cc95d6" hidden="1">#REF!</definedName>
    <definedName name="_RIVf837b058ae0c46cf8a12d3a1ad0b2c3b" hidden="1">#REF!</definedName>
    <definedName name="_RIVf84c8abf3ce74b948e8410a8d3fdd914" hidden="1">#REF!</definedName>
    <definedName name="_RIVf87f2f756f0a420292832ea490a48516" hidden="1">#REF!</definedName>
    <definedName name="_RIVf8f555bf88004dddba8be71fb99e86ca" hidden="1">#REF!</definedName>
    <definedName name="_RIVf985474bceb44d6688ca09550f57ec80" hidden="1">#REF!</definedName>
    <definedName name="_RIVf9ed5f1ff91c48b0b5f078d8f8e339f0" hidden="1">#REF!</definedName>
    <definedName name="_RIVf9ff4d7570a44917b6a8f2fd083ce962" hidden="1">#REF!</definedName>
    <definedName name="_RIVfa0e618300e24c4385c3bf2d7ed8657a" hidden="1">#REF!</definedName>
    <definedName name="_RIVfa4de17e31ba4c979179ea5e946711e5" hidden="1">#REF!</definedName>
    <definedName name="_RIVfa965987681b42e2960ecd9105a9970c" hidden="1">#REF!</definedName>
    <definedName name="_RIVfa9ff4ee22e54473b1bfe41270fbf904" hidden="1">#REF!</definedName>
    <definedName name="_RIVfaf7e718737844dc9b74ff2710186a6c" hidden="1">#REF!</definedName>
    <definedName name="_RIVfafa3cf5c2c442b6b59b8279be63788f" hidden="1">#REF!</definedName>
    <definedName name="_RIVfb0902ff6ece43888c7d8b19fe5a280c" hidden="1">#REF!</definedName>
    <definedName name="_RIVfb0a44f546c5418ea7a1000dc1748b26" hidden="1">#REF!</definedName>
    <definedName name="_RIVfb0bc58f72024316b8bf49ae3ed083eb" hidden="1">#REF!</definedName>
    <definedName name="_RIVfb12542b87304990b7850b72c6ebb511" hidden="1">#REF!</definedName>
    <definedName name="_RIVfb31d0a4786143398c57b496119d0718" hidden="1">#REF!</definedName>
    <definedName name="_RIVfbe5d2a26fe7445c83fb6a4fa6f75170" hidden="1">#REF!</definedName>
    <definedName name="_RIVfbfb8e1573d74fe0b6577f34027a8130" hidden="1">#REF!</definedName>
    <definedName name="_RIVfc2c94779c1d4b47ae513f671106dc89" hidden="1">#REF!</definedName>
    <definedName name="_RIVfc3f0b22620c49d687b6c95ba44b33eb" hidden="1">#REF!</definedName>
    <definedName name="_RIVfcaaf0840de04bbc9e7e6ea2734049b1" hidden="1">#REF!</definedName>
    <definedName name="_RIVfcc3ea619f8b4941bbaaabe768bb7b91" hidden="1">#REF!</definedName>
    <definedName name="_RIVfcd08ebd442241398a96bca679106990" hidden="1">#REF!</definedName>
    <definedName name="_RIVfcd83905fc0e4507b2ca3f7d96723e7a" hidden="1">#REF!</definedName>
    <definedName name="_RIVfdc05be71751489a8b2956407051890c" hidden="1">#REF!</definedName>
    <definedName name="_RIVfddd0cd520e14c6eadca2a56002661d3" hidden="1">#REF!</definedName>
    <definedName name="_RIVfdefbc66b4db42f1b3127f0b48065673" hidden="1">#REF!</definedName>
    <definedName name="_RIVfe0520868c91484493bb69c0e9e8f73e" hidden="1">#REF!</definedName>
    <definedName name="_RIVfe304372b3194c86bd7d5bcf01052707" hidden="1">#REF!</definedName>
    <definedName name="_RIVff30b1d22b9c4f9499e1e68e20764ee2" hidden="1">#REF!</definedName>
    <definedName name="_RIVff68e278e7c74f24a0d1e3eae1fc76b7" hidden="1">#REF!</definedName>
    <definedName name="_RIVff85b712efba45e1bb2ffb966470db5b" hidden="1">#REF!</definedName>
    <definedName name="_RIVffbfc69b9d2949d2b552173fb397670c" hidden="1">#REF!</definedName>
    <definedName name="_RIVffe4f65c91794cf2974b01bc0e20457a" hidden="1">#REF!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ort" hidden="1">#REF!</definedName>
    <definedName name="_Sortn" hidden="1">#REF!</definedName>
    <definedName name="_Table1_In1" hidden="1">#REF!</definedName>
    <definedName name="_Table2_In1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hidden="1">#REF!</definedName>
    <definedName name="_WC1" hidden="1">#REF!</definedName>
    <definedName name="_WC2" hidden="1">#REF!</definedName>
    <definedName name="_wrn1" localSheetId="0" hidden="1">{"mgmt forecast",#N/A,FALSE,"Mgmt Forecast";"dcf table",#N/A,FALSE,"Mgmt Forecast";"sensitivity",#N/A,FALSE,"Mgmt Forecast";"table inputs",#N/A,FALSE,"Mgmt Forecast";"calculations",#N/A,FALSE,"Mgmt Forecast"}</definedName>
    <definedName name="_wrn1" hidden="1">{"mgmt forecast",#N/A,FALSE,"Mgmt Forecast";"dcf table",#N/A,FALSE,"Mgmt Forecast";"sensitivity",#N/A,FALSE,"Mgmt Forecast";"table inputs",#N/A,FALSE,"Mgmt Forecast";"calculations",#N/A,FALSE,"Mgmt Forecast"}</definedName>
    <definedName name="a" localSheetId="0" hidden="1">{#N/A,#N/A,FALSE,"1996 labor";#N/A,#N/A,FALSE,"1996 CASH FLOWS"}</definedName>
    <definedName name="a" hidden="1">{#N/A,#N/A,FALSE,"Inc";#N/A,#N/A,FALSE,"QInc";#N/A,#N/A,FALSE,"Pro";#N/A,#N/A,FALSE,"QPro"}</definedName>
    <definedName name="aa" localSheetId="0" hidden="1">{#N/A,#N/A,FALSE,"1996 labor";#N/A,#N/A,FALSE,"1996 CASH FLOWS"}</definedName>
    <definedName name="aa" hidden="1">{#N/A,#N/A,FALSE,"1996 labor";#N/A,#N/A,FALSE,"1996 CASH FLOWS"}</definedName>
    <definedName name="aaa" localSheetId="0" hidden="1">{#N/A,#N/A,FALSE,"REPORTS";#N/A,#N/A,FALSE,"Summary";#N/A,#N/A,FALSE,"salessummary";#N/A,#N/A,FALSE,"cvcmsummary";#N/A,#N/A,FALSE,"cvcm%summary"}</definedName>
    <definedName name="aaa" hidden="1">{#N/A,#N/A,FALSE,"REPORTS";#N/A,#N/A,FALSE,"Summary";#N/A,#N/A,FALSE,"salessummary";#N/A,#N/A,FALSE,"cvcmsummary";#N/A,#N/A,FALSE,"cvcm%summary"}</definedName>
    <definedName name="AAA_DOCTOPS" hidden="1">"AAA_SET"</definedName>
    <definedName name="AAA_duser" hidden="1">"OFF"</definedName>
    <definedName name="AAA_u999998" hidden="1">"nlfoote@970721231427"</definedName>
    <definedName name="AAA_u999999" hidden="1">"nlfoote@970721231348"</definedName>
    <definedName name="aaaa" localSheetId="0" hidden="1">{#N/A,#N/A,FALSE,"REPORTS";#N/A,#N/A,FALSE,"Summary";#N/A,#N/A,FALSE,"salessummary";#N/A,#N/A,FALSE,"cvcmsummary";#N/A,#N/A,FALSE,"cvcm%summary"}</definedName>
    <definedName name="aaaa" hidden="1">{"Five Year Record",#N/A,FALSE,"Front and Back"}</definedName>
    <definedName name="aaaaaaaaaaaaa" hidden="1">{"'Standalone List Price Trends'!$A$1:$X$56"}</definedName>
    <definedName name="aaaaaaaaaaaaaaaaaaaaaaaaaaaaaaaaa" localSheetId="0" hidden="1">{#N/A,#N/A,FALSE,"1996 labor";#N/A,#N/A,FALSE,"1996 CASH FLOWS"}</definedName>
    <definedName name="aaaaaaaaaaaaaaaaaaaaaaaaaaaaaaaaa" hidden="1">{#N/A,#N/A,FALSE,"1996 labor";#N/A,#N/A,FALSE,"1996 CASH 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sas" hidden="1">{"PR1","pr1",TRUE,"Sch PR-1"}</definedName>
    <definedName name="ab" hidden="1">{#N/A,#N/A,FALSE,"Inc";#N/A,#N/A,FALSE,"Prod";#N/A,#N/A,FALSE,"QInc";#N/A,#N/A,FALSE,"QProd"}</definedName>
    <definedName name="abc" localSheetId="0" hidden="1">{#N/A,#N/A,TRUE,"Sheet2";"Admin Expense",#N/A,TRUE,"Sheet1";"Gross Profit",#N/A,TRUE,"Sheet1";"Product Support",#N/A,TRUE,"Sheet1"}</definedName>
    <definedName name="abc" hidden="1">{"histincome",#N/A,FALSE,"hyfins";"closing balance",#N/A,FALSE,"hyfins"}</definedName>
    <definedName name="abcd" hidden="1">{#N/A,#N/A,FALSE,"Inc";#N/A,#N/A,FALSE,"Prod";#N/A,#N/A,FALSE,"QInc";#N/A,#N/A,FALSE,"QProd"}</definedName>
    <definedName name="abd" localSheetId="0" hidden="1">{#N/A,#N/A,TRUE,"Sheet2";"Admin Expense",#N/A,TRUE,"Sheet1";"Gross Profit",#N/A,TRUE,"Sheet1";"Product Support",#N/A,TRUE,"Sheet1"}</definedName>
    <definedName name="abd" hidden="1">{#N/A,#N/A,TRUE,"Sheet2";"Admin Expense",#N/A,TRUE,"Sheet1";"Gross Profit",#N/A,TRUE,"Sheet1";"Product Support",#N/A,TRUE,"Sheet1"}</definedName>
    <definedName name="abx" localSheetId="0" hidden="1">{"standalone1",#N/A,FALSE,"DCFBase";"standalone2",#N/A,FALSE,"DCFBase"}</definedName>
    <definedName name="abx" hidden="1">{"standalone1",#N/A,FALSE,"DCFBase";"standalone2",#N/A,FALSE,"DCFBase"}</definedName>
    <definedName name="AccessDatabase" hidden="1">"I:\DEPT8900\OEL\FY01\Reports\Budget Comparison\Comparitive Budget TEST.mdb"</definedName>
    <definedName name="Acquistions" hidden="1">39723.3704050926</definedName>
    <definedName name="ACwvu.Annual." hidden="1">#N/A</definedName>
    <definedName name="ACwvu.BiPolar." hidden="1">#REF!</definedName>
    <definedName name="ACwvu.Quarterly." hidden="1">#N/A</definedName>
    <definedName name="ACwvu.Quarterlycompare." hidden="1">#N/A</definedName>
    <definedName name="ACwvu.Sumnpv." hidden="1">#REF!</definedName>
    <definedName name="adasdasdasdasd" hidden="1">{"PR1","pr1",TRUE,"Sch PR-1"}</definedName>
    <definedName name="adb" hidden="1">{#N/A,#N/A,FALSE,"Inc";#N/A,#N/A,FALSE,"Prod";#N/A,#N/A,FALSE,"QInc";#N/A,#N/A,FALSE,"QProd"}</definedName>
    <definedName name="add" localSheetId="0" hidden="1">{#N/A,#N/A,FALSE,"1996 labor";#N/A,#N/A,FALSE,"1996 CASH FLOWS"}</definedName>
    <definedName name="add" hidden="1">{#N/A,#N/A,FALSE,"1996 labor";#N/A,#N/A,FALSE,"1996 CASH FLOWS"}</definedName>
    <definedName name="ade" localSheetId="0" hidden="1">{#N/A,#N/A,FALSE,"1996 labor";#N/A,#N/A,FALSE,"1996 CASH FLOWS"}</definedName>
    <definedName name="ade" hidden="1">{#N/A,#N/A,FALSE,"1996 labor";#N/A,#N/A,FALSE,"1996 CASH FLOWS"}</definedName>
    <definedName name="adf" localSheetId="0" hidden="1">{"standalone1",#N/A,FALSE,"DCFBase";"standalone2",#N/A,FALSE,"DCFBase"}</definedName>
    <definedName name="adf" hidden="1">#REF!</definedName>
    <definedName name="AdHocChart_Look" hidden="1">OFFSET(#REF!,0,0,#REF!,#REF!)</definedName>
    <definedName name="adsf" hidden="1">#REF!</definedName>
    <definedName name="afddsfdsdsaf" hidden="1">#REF!</definedName>
    <definedName name="alsd" hidden="1">#REF!</definedName>
    <definedName name="alsdj" hidden="1">#REF!</definedName>
    <definedName name="Ammortization" hidden="1">{"appropriation",#N/A,FALSE,"APPROP"}</definedName>
    <definedName name="ANDNDNDND" hidden="1">#REF!</definedName>
    <definedName name="andy" localSheetId="0" hidden="1">{#N/A,#N/A,TRUE,"MAIN FT TERM";#N/A,#N/A,TRUE,"MCI  FT TERM ";#N/A,#N/A,TRUE,"OC12 EQV"}</definedName>
    <definedName name="andy" hidden="1">{#N/A,#N/A,TRUE,"MAIN FT TERM";#N/A,#N/A,TRUE,"MCI  FT TERM ";#N/A,#N/A,TRUE,"OC12 EQV"}</definedName>
    <definedName name="andy1" localSheetId="0" hidden="1">{#N/A,#N/A,TRUE,"MAIN FT TERM";#N/A,#N/A,TRUE,"MCI  FT TERM ";#N/A,#N/A,TRUE,"OC12 EQV"}</definedName>
    <definedName name="andy1" hidden="1">{#N/A,#N/A,TRUE,"MAIN FT TERM";#N/A,#N/A,TRUE,"MCI  FT TERM ";#N/A,#N/A,TRUE,"OC12 EQV"}</definedName>
    <definedName name="anek" localSheetId="0" hidden="1">{"Output",#N/A,FALSE,"Output"}</definedName>
    <definedName name="anek" hidden="1">{"Output",#N/A,FALSE,"Output"}</definedName>
    <definedName name="anscount" localSheetId="0" hidden="1">16</definedName>
    <definedName name="anscount" hidden="1">1</definedName>
    <definedName name="AQ" localSheetId="0" hidden="1">{#N/A,#N/A,FALSE,"Performance_Products_Sold"}</definedName>
    <definedName name="AQ" hidden="1">{#N/A,#N/A,FALSE,"Performance_Products_Sold"}</definedName>
    <definedName name="as" localSheetId="0" hidden="1">{"Linda Robens",#N/A,FALSE,"AM";"Robens Summary",#N/A,FALSE,"AM"}</definedName>
    <definedName name="as" hidden="1">{"Linda Robens",#N/A,FALSE,"AM";"Robens Summary",#N/A,FALSE,"AM"}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asasas" hidden="1">{"PR1","pr1",TRUE,"Sch PR-1"}</definedName>
    <definedName name="asc" hidden="1">#REF!</definedName>
    <definedName name="asdf" localSheetId="0" hidden="1">{#N/A,#N/A,FALSE,"Performance_Products_Sold"}</definedName>
    <definedName name="asdf" hidden="1">#REF!</definedName>
    <definedName name="asdfa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asdfa" hidden="1">{#N/A,#N/A,FALSE,"Antony Financials";#N/A,#N/A,FALSE,"Cowboy Financials";#N/A,#N/A,FALSE,"Combined";#N/A,#N/A,FALSE,"Valuematrix";#N/A,#N/A,FALSE,"DCFAntony";#N/A,#N/A,FALSE,"DCFCowboy";#N/A,#N/A,FALSE,"DCFCombined"}</definedName>
    <definedName name="asdfasdf" localSheetId="0" hidden="1">{#N/A,#N/A,FALSE,"CreditStat";#N/A,#N/A,FALSE,"SPbrkup";#N/A,#N/A,FALSE,"MerSPsyn";#N/A,#N/A,FALSE,"MerSPwKCsyn";#N/A,#N/A,FALSE,"MerSPwKCsyn (2)";#N/A,#N/A,FALSE,"CreditStat (2)"}</definedName>
    <definedName name="asdfasdf" hidden="1">{#N/A,#N/A,FALSE,"CreditStat";#N/A,#N/A,FALSE,"SPbrkup";#N/A,#N/A,FALSE,"MerSPsyn";#N/A,#N/A,FALSE,"MerSPwKCsyn";#N/A,#N/A,FALSE,"MerSPwKCsyn (2)";#N/A,#N/A,FALSE,"CreditStat (2)"}</definedName>
    <definedName name="asdff" localSheetId="0" hidden="1">{"standalone1",#N/A,FALSE,"DCFBase";"standalone2",#N/A,FALSE,"DCFBase"}</definedName>
    <definedName name="asdff" hidden="1">{"standalone1",#N/A,FALSE,"DCFBase";"standalone2",#N/A,FALSE,"DCFBase"}</definedName>
    <definedName name="asdfsad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asdfsad" hidden="1">{#N/A,#N/A,FALSE,"Antony Financials";#N/A,#N/A,FALSE,"Cowboy Financials";#N/A,#N/A,FALSE,"Combined";#N/A,#N/A,FALSE,"Valuematrix";#N/A,#N/A,FALSE,"DCFAntony";#N/A,#N/A,FALSE,"DCFCowboy";#N/A,#N/A,FALSE,"DCFCombined"}</definedName>
    <definedName name="asdk" hidden="1">#REF!</definedName>
    <definedName name="asdtf" hidden="1">{"'Standalone List Price Trends'!$A$1:$X$56"}</definedName>
    <definedName name="asggdasgasdg" hidden="1">{"'Standalone List Price Trends'!$A$1:$X$56"}</definedName>
    <definedName name="asldkjf" hidden="1">#REF!</definedName>
    <definedName name="ASP_Look" hidden="1">#REF!</definedName>
    <definedName name="assasdafsda" hidden="1">{"PR1","pr1",TRUE,"Sch PR-1"}</definedName>
    <definedName name="aste" hidden="1">#REF!</definedName>
    <definedName name="awe" hidden="1">#REF!</definedName>
    <definedName name="aweth" hidden="1">#REF!</definedName>
    <definedName name="b" localSheetId="0" hidden="1">{"ACQ",#N/A,FALSE,"ACQUISITIONS";"ACQF",#N/A,FALSE,"ACQUISITIONS";"PF",#N/A,FALSE,"PROYECTOVILA";"PV",#N/A,FALSE,"PROYECTOVILA";"Fee Dev",#N/A,FALSE,"DEVELOPMENT GROWTH";"gd",#N/A,FALSE,"DEVELOPMENT GROWTH"}</definedName>
    <definedName name="b" hidden="1">{#N/A,#N/A,FALSE,"Inc";#N/A,#N/A,FALSE,"QInc";#N/A,#N/A,FALSE,"Pro";#N/A,#N/A,FALSE,"QPro"}</definedName>
    <definedName name="BASE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b" localSheetId="0" hidden="1">{#N/A,#N/A,FALSE,"1996 labor";#N/A,#N/A,FALSE,"1996 CASH FLOWS"}</definedName>
    <definedName name="bb" hidden="1">{#N/A,#N/A,FALSE,"1996 labor";#N/A,#N/A,FALSE,"1996 CASH FLOWS"}</definedName>
    <definedName name="bbbbb" hidden="1">{"ww",#N/A,FALSE,"Hospital Products";"us",#N/A,FALSE,"Hospital Products";"in",#N/A,FALSE,"Hospital Products"}</definedName>
    <definedName name="bbbbbbbb" hidden="1">{"Back Page",#N/A,FALSE,"Front and Back"}</definedName>
    <definedName name="bcd" hidden="1">{#N/A,#N/A,FALSE,"Inc";#N/A,#N/A,FALSE,"Prod";#N/A,#N/A,FALSE,"QInc";#N/A,#N/A,FALSE,"QProd"}</definedName>
    <definedName name="bcdf" hidden="1">{#N/A,#N/A,FALSE,"Inc";#N/A,#N/A,FALSE,"Prod";#N/A,#N/A,FALSE,"QInc";#N/A,#N/A,FALSE,"QProd"}</definedName>
    <definedName name="bd" hidden="1">#N/A</definedName>
    <definedName name="BEx00BJIH5GT54ML82Q5693F3MRC" localSheetId="0" hidden="1">Invoice #REF!</definedName>
    <definedName name="BEx00BJIH5GT54ML82Q5693F3MRC" hidden="1">Invoice #REF!</definedName>
    <definedName name="BEx01DR44TI7TKKVHWBDR4O7IKR5" hidden="1">#REF!</definedName>
    <definedName name="BEx1FV2GYOIFJTJ2K7TQ5RPIQB5H" localSheetId="0" hidden="1">Invoice #REF!</definedName>
    <definedName name="BEx1FV2GYOIFJTJ2K7TQ5RPIQB5H" hidden="1">Invoice #REF!</definedName>
    <definedName name="BEx1GJXZQ98AM985L9U62HAKPX6G" hidden="1">#REF!</definedName>
    <definedName name="BEx1MBC2P092SRQSL71OO28IENGE" localSheetId="0" hidden="1">Invoice #REF!</definedName>
    <definedName name="BEx1MBC2P092SRQSL71OO28IENGE" hidden="1">Invoice #REF!</definedName>
    <definedName name="BEx1MWB7SDGPT11QMKK54D1TFVXI" localSheetId="0" hidden="1">Invoice #REF!</definedName>
    <definedName name="BEx1MWB7SDGPT11QMKK54D1TFVXI" hidden="1">Invoice #REF!</definedName>
    <definedName name="BEx1N7UPE5R6DWTT6N2H1JEGAKUW" localSheetId="0" hidden="1">Invoice #REF!</definedName>
    <definedName name="BEx1N7UPE5R6DWTT6N2H1JEGAKUW" hidden="1">Invoice #REF!</definedName>
    <definedName name="BEx1QAFWS90V3U4UCXINTRKTTIPP" localSheetId="0" hidden="1">Invoice #REF!</definedName>
    <definedName name="BEx1QAFWS90V3U4UCXINTRKTTIPP" hidden="1">Invoice #REF!</definedName>
    <definedName name="BEx1QPFDJNMFPRMLJ3PDTFXSMKBT" localSheetId="0" hidden="1">Invoice #REF!</definedName>
    <definedName name="BEx1QPFDJNMFPRMLJ3PDTFXSMKBT" hidden="1">Invoice #REF!</definedName>
    <definedName name="BEx1S5FB0YUF66X2IGEN5VBJKTAL" localSheetId="0" hidden="1">Invoice #REF!</definedName>
    <definedName name="BEx1S5FB0YUF66X2IGEN5VBJKTAL" hidden="1">Invoice #REF!</definedName>
    <definedName name="BEx1SOLUSBK42CRTNCU5EZHS156E" localSheetId="0" hidden="1">Invoice #REF!</definedName>
    <definedName name="BEx1SOLUSBK42CRTNCU5EZHS156E" hidden="1">Invoice #REF!</definedName>
    <definedName name="BEx1THOANX8WKFOLAUKUZXPA41TD" localSheetId="0" hidden="1">Invoice #REF!</definedName>
    <definedName name="BEx1THOANX8WKFOLAUKUZXPA41TD" hidden="1">Invoice #REF!</definedName>
    <definedName name="BEx1US4PZS1ED4CW076N9ART99E1" localSheetId="0" hidden="1">Invoice #REF!</definedName>
    <definedName name="BEx1US4PZS1ED4CW076N9ART99E1" hidden="1">Invoice #REF!</definedName>
    <definedName name="BEx3F3TZKQKOYYUOD9OSHNRJ8IST" localSheetId="0" hidden="1">Invoice #REF!</definedName>
    <definedName name="BEx3F3TZKQKOYYUOD9OSHNRJ8IST" hidden="1">Invoice #REF!</definedName>
    <definedName name="BEx3FWR4J79RE9GV1ASY59HZWPIV" hidden="1">#REF!</definedName>
    <definedName name="BEx3HK3BO59BB3IXX5FANPNJCNF9" hidden="1">#REF!</definedName>
    <definedName name="BEx3J74W4XTIVKNKP6TPHL56OJ4F" localSheetId="0" hidden="1">Invoice #REF!</definedName>
    <definedName name="BEx3J74W4XTIVKNKP6TPHL56OJ4F" hidden="1">Invoice #REF!</definedName>
    <definedName name="BEx3J9DPJKDFKFKI7BRBS3QFKOMW" localSheetId="0" hidden="1">Invoice #REF!</definedName>
    <definedName name="BEx3J9DPJKDFKFKI7BRBS3QFKOMW" hidden="1">Invoice #REF!</definedName>
    <definedName name="BEx3L9RC0G3QRSGQR01REGFSVARW" localSheetId="0" hidden="1">Invoice #REF!</definedName>
    <definedName name="BEx3L9RC0G3QRSGQR01REGFSVARW" hidden="1">Invoice #REF!</definedName>
    <definedName name="BEx3MC4FQEO5C8YU2Q05A5MHR98E" localSheetId="0" hidden="1">Invoice #REF!</definedName>
    <definedName name="BEx3MC4FQEO5C8YU2Q05A5MHR98E" hidden="1">Invoice #REF!</definedName>
    <definedName name="BEx3MG5ZLV9OQRZTMXINMXD3JZBX" localSheetId="0" hidden="1">Invoice #REF!</definedName>
    <definedName name="BEx3MG5ZLV9OQRZTMXINMXD3JZBX" hidden="1">Invoice #REF!</definedName>
    <definedName name="BEx3OEALWU79TLDI58TUUTINNG3I" hidden="1">#REF!</definedName>
    <definedName name="BEx3OPE0BG00V6EOFREEDZVU16D0" localSheetId="0" hidden="1">Invoice #REF!</definedName>
    <definedName name="BEx3OPE0BG00V6EOFREEDZVU16D0" hidden="1">Invoice #REF!</definedName>
    <definedName name="BEx3OWVKFCYW5CYCO5KJWQ4CWOK6" localSheetId="0" hidden="1">Invoice #REF!</definedName>
    <definedName name="BEx3OWVKFCYW5CYCO5KJWQ4CWOK6" hidden="1">Invoice #REF!</definedName>
    <definedName name="BEx3Q5U0ABYY5S4LQQJOXZS8OPPY" localSheetId="0" hidden="1">Invoice #REF!</definedName>
    <definedName name="BEx3Q5U0ABYY5S4LQQJOXZS8OPPY" hidden="1">Invoice #REF!</definedName>
    <definedName name="BEx3S8WR87D72NM08LZBV0K20988" hidden="1">#REF!</definedName>
    <definedName name="BEx3V4095G8VL7J83MYCACN3QVBL" hidden="1">#REF!</definedName>
    <definedName name="BEx58C2A1BDXIQLM5JVVRVW0F6SF" hidden="1">#REF!</definedName>
    <definedName name="BEx5A9G1O314H94CPCVZSG0RTIXK" localSheetId="0" hidden="1">Invoice #REF!</definedName>
    <definedName name="BEx5A9G1O314H94CPCVZSG0RTIXK" hidden="1">Invoice #REF!</definedName>
    <definedName name="BEx5AGHH5LZDB79SBA3BHF7MYEOG" localSheetId="0" hidden="1">Invoice #REF!</definedName>
    <definedName name="BEx5AGHH5LZDB79SBA3BHF7MYEOG" hidden="1">Invoice #REF!</definedName>
    <definedName name="BEx5FN1SNUVMPQ63VY5CX9EI5H7P" localSheetId="0" hidden="1">Invoice #REF!</definedName>
    <definedName name="BEx5FN1SNUVMPQ63VY5CX9EI5H7P" hidden="1">Invoice #REF!</definedName>
    <definedName name="BEx5JRUMGXD7VPAB1PWQD1MFQX2L" localSheetId="0" hidden="1">Invoice #REF!</definedName>
    <definedName name="BEx5JRUMGXD7VPAB1PWQD1MFQX2L" hidden="1">Invoice #REF!</definedName>
    <definedName name="BEx5KCJ46R3URQF155131UBMFG1Q" localSheetId="0" hidden="1">Invoice #REF!</definedName>
    <definedName name="BEx5KCJ46R3URQF155131UBMFG1Q" hidden="1">Invoice #REF!</definedName>
    <definedName name="BEx5M0X5O1Z71SFMPULKN56GCOVK" localSheetId="0" hidden="1">Invoice #REF!</definedName>
    <definedName name="BEx5M0X5O1Z71SFMPULKN56GCOVK" hidden="1">Invoice #REF!</definedName>
    <definedName name="BEx5O8C9I3LE35U4FRLURN9UV5RC" localSheetId="0" hidden="1">Invoice #REF!</definedName>
    <definedName name="BEx5O8C9I3LE35U4FRLURN9UV5RC" hidden="1">Invoice #REF!</definedName>
    <definedName name="BEx5OF8EQDUOWFZ8OHNU6T94YACX" localSheetId="0" hidden="1">Invoice #REF!</definedName>
    <definedName name="BEx5OF8EQDUOWFZ8OHNU6T94YACX" hidden="1">Invoice #REF!</definedName>
    <definedName name="BEx7A5VSXUQ6EWAJDAG17DR9N5IR" localSheetId="0" hidden="1">Invoice #REF!</definedName>
    <definedName name="BEx7A5VSXUQ6EWAJDAG17DR9N5IR" hidden="1">Invoice #REF!</definedName>
    <definedName name="BEx7CJ5F3NBD7NYSPOR3YY4XMK49" localSheetId="0" hidden="1">Invoice #REF!</definedName>
    <definedName name="BEx7CJ5F3NBD7NYSPOR3YY4XMK49" hidden="1">Invoice #REF!</definedName>
    <definedName name="BEx7CUU6JIXHD3VE9G9M0D6VKUWB" localSheetId="0" hidden="1">Invoice #REF!</definedName>
    <definedName name="BEx7CUU6JIXHD3VE9G9M0D6VKUWB" hidden="1">Invoice #REF!</definedName>
    <definedName name="BEx7G0FBH8MY88RQNM5UKQG3V8NU" localSheetId="0" hidden="1">Invoice #REF!</definedName>
    <definedName name="BEx7G0FBH8MY88RQNM5UKQG3V8NU" hidden="1">Invoice #REF!</definedName>
    <definedName name="BEx7GNHXXRMCQN4WJMJ5PQPC0SMJ" hidden="1">#REF!</definedName>
    <definedName name="BEx7J542DQBTAIJJGOAZSV3IT8UE" localSheetId="0" hidden="1">Invoice #REF!</definedName>
    <definedName name="BEx7J542DQBTAIJJGOAZSV3IT8UE" hidden="1">Invoice #REF!</definedName>
    <definedName name="BEx7JIQW9ZN4RNKRDKIGKAEMG955" localSheetId="0" hidden="1">Invoice #REF!</definedName>
    <definedName name="BEx7JIQW9ZN4RNKRDKIGKAEMG955" hidden="1">Invoice #REF!</definedName>
    <definedName name="BEx7LEXGDYTV1HQHPFQW3ZGK3555" hidden="1">#REF!</definedName>
    <definedName name="BEx7LRNY3KQQDQTUOXRW3T7PJZLY" hidden="1">#REF!</definedName>
    <definedName name="BEx7MB595RHM8JAV60PNZ6KNNBGZ" localSheetId="0" hidden="1">Invoice #REF!</definedName>
    <definedName name="BEx7MB595RHM8JAV60PNZ6KNNBGZ" hidden="1">Invoice #REF!</definedName>
    <definedName name="BEx90MGRYZYAV9SA3PA3WV1XQ855" localSheetId="0" hidden="1">Invoice #REF!</definedName>
    <definedName name="BEx90MGRYZYAV9SA3PA3WV1XQ855" hidden="1">Invoice #REF!</definedName>
    <definedName name="BEx931Z7E32HAGQ1M2IYVRGVDSEG" localSheetId="0" hidden="1">Invoice #REF!</definedName>
    <definedName name="BEx931Z7E32HAGQ1M2IYVRGVDSEG" hidden="1">Invoice #REF!</definedName>
    <definedName name="BEx95F8SN0RH10PPNO4F278S0GPA" localSheetId="0" hidden="1">Invoice #REF!</definedName>
    <definedName name="BEx95F8SN0RH10PPNO4F278S0GPA" hidden="1">Invoice #REF!</definedName>
    <definedName name="BEx96SE3ZCEX8GRZ8509W5CGNSKY" hidden="1">#REF!</definedName>
    <definedName name="BEx96WAE2MTYATXWMP5GCDY2H2FI" localSheetId="0" hidden="1">Invoice #REF!</definedName>
    <definedName name="BEx96WAE2MTYATXWMP5GCDY2H2FI" hidden="1">Invoice #REF!</definedName>
    <definedName name="BEx97MNV1FIMHU2D1FH2PTDT1XH5" localSheetId="0" hidden="1">Invoice #REF!</definedName>
    <definedName name="BEx97MNV1FIMHU2D1FH2PTDT1XH5" hidden="1">Invoice #REF!</definedName>
    <definedName name="BEx99XOG7FW0LMF0NDIPTT7QE6W4" localSheetId="0" hidden="1">Invoice #REF!</definedName>
    <definedName name="BEx99XOG7FW0LMF0NDIPTT7QE6W4" hidden="1">Invoice #REF!</definedName>
    <definedName name="BEx9BI0WPT35ASYLLDQQ81HKAHPZ" localSheetId="0" hidden="1">Invoice #REF!</definedName>
    <definedName name="BEx9BI0WPT35ASYLLDQQ81HKAHPZ" hidden="1">Invoice #REF!</definedName>
    <definedName name="BEx9BYT00R71DFMUJ6VDM3NFMOJR" localSheetId="0" hidden="1">Invoice #REF!</definedName>
    <definedName name="BEx9BYT00R71DFMUJ6VDM3NFMOJR" hidden="1">Invoice #REF!</definedName>
    <definedName name="BEx9D8CZZLCWE15IERF3AAWUZU0H" localSheetId="0" hidden="1">Invoice #REF!</definedName>
    <definedName name="BEx9D8CZZLCWE15IERF3AAWUZU0H" hidden="1">Invoice #REF!</definedName>
    <definedName name="BEx9DL8YASGFP36THXRZQBJZ53J9" localSheetId="0" hidden="1">Invoice #REF!</definedName>
    <definedName name="BEx9DL8YASGFP36THXRZQBJZ53J9" hidden="1">Invoice #REF!</definedName>
    <definedName name="BEx9ED4DVYH3O27CP0R0YOUIKBCZ" localSheetId="0" hidden="1">Invoice #REF!</definedName>
    <definedName name="BEx9ED4DVYH3O27CP0R0YOUIKBCZ" hidden="1">Invoice #REF!</definedName>
    <definedName name="BEx9FTV8922PPV830A9FX9881G77" localSheetId="0" hidden="1">Invoice #REF!</definedName>
    <definedName name="BEx9FTV8922PPV830A9FX9881G77" hidden="1">Invoice #REF!</definedName>
    <definedName name="BEx9HFUXK1QQLRHDKM8UDJAJ4I6M" hidden="1">#REF!</definedName>
    <definedName name="BEx9IEXBHMIGWNLO23M984LB65I6" localSheetId="0" hidden="1">Invoice #REF!</definedName>
    <definedName name="BEx9IEXBHMIGWNLO23M984LB65I6" hidden="1">Invoice #REF!</definedName>
    <definedName name="BExAYRO3WLLN4PJXFCX74CPLPBSS" localSheetId="0" hidden="1">Invoice #REF!</definedName>
    <definedName name="BExAYRO3WLLN4PJXFCX74CPLPBSS" hidden="1">Invoice #REF!</definedName>
    <definedName name="BExB2O8BI5NT82X1XVGFN61I8B5E" localSheetId="0" hidden="1">Invoice #REF!</definedName>
    <definedName name="BExB2O8BI5NT82X1XVGFN61I8B5E" hidden="1">Invoice #REF!</definedName>
    <definedName name="BExB4F0NMI7JEX9X802BICD7TJ0R" localSheetId="0" hidden="1">Invoice #REF!</definedName>
    <definedName name="BExB4F0NMI7JEX9X802BICD7TJ0R" hidden="1">Invoice #REF!</definedName>
    <definedName name="BExB4M25N532HZOGUG91LUDPQFX8" hidden="1">#REF!</definedName>
    <definedName name="BExB4VCMI3SQCNDEQ3JBP17CJ6PL" localSheetId="0" hidden="1">Invoice #REF!</definedName>
    <definedName name="BExB4VCMI3SQCNDEQ3JBP17CJ6PL" hidden="1">Invoice #REF!</definedName>
    <definedName name="BExB6FJL3IH4ZL5F2AQ7LC96VJWH" localSheetId="0" hidden="1">Invoice #REF!</definedName>
    <definedName name="BExB6FJL3IH4ZL5F2AQ7LC96VJWH" hidden="1">Invoice #REF!</definedName>
    <definedName name="BExB6QMSGT1C6I8IS8SEO1GCXWQW" localSheetId="0" hidden="1">Invoice #REF!</definedName>
    <definedName name="BExB6QMSGT1C6I8IS8SEO1GCXWQW" hidden="1">Invoice #REF!</definedName>
    <definedName name="BExBDH35DHRP0O6MGNP2Z6GQMUXE" localSheetId="0" hidden="1">Invoice #REF!</definedName>
    <definedName name="BExBDH35DHRP0O6MGNP2Z6GQMUXE" hidden="1">Invoice #REF!</definedName>
    <definedName name="BExCVRIHWJ3P8436HQDSEVA63CNO" localSheetId="0" hidden="1">Invoice #REF!</definedName>
    <definedName name="BExCVRIHWJ3P8436HQDSEVA63CNO" hidden="1">Invoice #REF!</definedName>
    <definedName name="BExCVXT2Y6CQD07XUYSYZ0F11F96" localSheetId="0" hidden="1">Invoice #REF!</definedName>
    <definedName name="BExCVXT2Y6CQD07XUYSYZ0F11F96" hidden="1">Invoice #REF!</definedName>
    <definedName name="BExCW6HYXR29UI95J9QO78J9P68B" localSheetId="0" hidden="1">Invoice #REF!</definedName>
    <definedName name="BExCW6HYXR29UI95J9QO78J9P68B" hidden="1">Invoice #REF!</definedName>
    <definedName name="BExCX42E9DU94PDR5YE49QAQ7JFF" localSheetId="0" hidden="1">Invoice #REF!</definedName>
    <definedName name="BExCX42E9DU94PDR5YE49QAQ7JFF" hidden="1">Invoice #REF!</definedName>
    <definedName name="BExCXWJFQ7PFJYQGXHGSFJ9KVWYY" localSheetId="0" hidden="1">Invoice #REF!</definedName>
    <definedName name="BExCXWJFQ7PFJYQGXHGSFJ9KVWYY" hidden="1">Invoice #REF!</definedName>
    <definedName name="BExCYQ244N8X1VA7UA55G3KVU7FS" hidden="1">#REF!</definedName>
    <definedName name="BExCYRK3GENSYHIDNWNAPNQKV0JC" localSheetId="0" hidden="1">Invoice #REF!</definedName>
    <definedName name="BExCYRK3GENSYHIDNWNAPNQKV0JC" hidden="1">Invoice #REF!</definedName>
    <definedName name="BExCYRPEBEU4V6O2PTU3ILYEVR1S" localSheetId="0" hidden="1">Invoice #REF!</definedName>
    <definedName name="BExCYRPEBEU4V6O2PTU3ILYEVR1S" hidden="1">Invoice #REF!</definedName>
    <definedName name="BExCZKBQEXBXHFZOAKQC6HS916IP" hidden="1">#REF!</definedName>
    <definedName name="BExD06SYZ8PX7LZ2D5DOFKMIJ361" hidden="1">#REF!</definedName>
    <definedName name="BExD1QJURRKW3SO9O1GKWFLZSXRW" localSheetId="0" hidden="1">Invoice #REF!</definedName>
    <definedName name="BExD1QJURRKW3SO9O1GKWFLZSXRW" hidden="1">Invoice #REF!</definedName>
    <definedName name="BExDAUKIVKOWUES0EA87EF279NXR" localSheetId="0" hidden="1">Invoice #REF!</definedName>
    <definedName name="BExDAUKIVKOWUES0EA87EF279NXR" hidden="1">Invoice #REF!</definedName>
    <definedName name="BExENXTZIWDB0DG5I0AW6VM92JGZ" localSheetId="0" hidden="1">Invoice #REF!</definedName>
    <definedName name="BExENXTZIWDB0DG5I0AW6VM92JGZ" hidden="1">Invoice #REF!</definedName>
    <definedName name="BExERTCHB5NP48URX0BTUNQ5ZHI9" localSheetId="0" hidden="1">Invoice #REF!</definedName>
    <definedName name="BExERTCHB5NP48URX0BTUNQ5ZHI9" hidden="1">Invoice #REF!</definedName>
    <definedName name="BExEVETA6L4LTZ7VRTMGEWBIQVMB" localSheetId="0" hidden="1">Invoice #REF!</definedName>
    <definedName name="BExEVETA6L4LTZ7VRTMGEWBIQVMB" hidden="1">Invoice #REF!</definedName>
    <definedName name="BExEYMN9DV6H5ZPJIQ1L9KOBTSJI" localSheetId="0" hidden="1">Invoice #REF!</definedName>
    <definedName name="BExEYMN9DV6H5ZPJIQ1L9KOBTSJI" hidden="1">Invoice #REF!</definedName>
    <definedName name="BExF2KELH6KVW0B5E0NQX222S7UQ" hidden="1">#REF!</definedName>
    <definedName name="BExF6O5PWQPGR5E1EX6T3NZENAWN" localSheetId="0" hidden="1">Invoice #REF!</definedName>
    <definedName name="BExF6O5PWQPGR5E1EX6T3NZENAWN" hidden="1">Invoice #REF!</definedName>
    <definedName name="BExF7TINPAH1KNV6PIAO5F76G8CG" localSheetId="0" hidden="1">Invoice #REF!</definedName>
    <definedName name="BExF7TINPAH1KNV6PIAO5F76G8CG" hidden="1">Invoice #REF!</definedName>
    <definedName name="BExF8Y4M63KKWCH43KS1W03XPQOC" localSheetId="0" hidden="1">Invoice #REF!</definedName>
    <definedName name="BExF8Y4M63KKWCH43KS1W03XPQOC" hidden="1">Invoice #REF!</definedName>
    <definedName name="BExGLOSX2PXGTHJ4Q9OMQMOMJJQV" localSheetId="0" hidden="1">Invoice #REF!</definedName>
    <definedName name="BExGLOSX2PXGTHJ4Q9OMQMOMJJQV" hidden="1">Invoice #REF!</definedName>
    <definedName name="BExGMS277GRGMTEHVW1SLFMR5963" localSheetId="0" hidden="1">Invoice #REF!</definedName>
    <definedName name="BExGMS277GRGMTEHVW1SLFMR5963" hidden="1">Invoice #REF!</definedName>
    <definedName name="BExGNB3D253DQOXAXYKRMK3CRSE7" localSheetId="0" hidden="1">Invoice #REF!</definedName>
    <definedName name="BExGNB3D253DQOXAXYKRMK3CRSE7" hidden="1">Invoice #REF!</definedName>
    <definedName name="BExGO2D93I03O1Z0CWETMWLR5POT" localSheetId="0" hidden="1">Invoice #REF!</definedName>
    <definedName name="BExGO2D93I03O1Z0CWETMWLR5POT" hidden="1">Invoice #REF!</definedName>
    <definedName name="BExGOYL219P0YSEOT57ZHRDLU8OB" localSheetId="0" hidden="1">Invoice #REF!</definedName>
    <definedName name="BExGOYL219P0YSEOT57ZHRDLU8OB" hidden="1">Invoice #REF!</definedName>
    <definedName name="BExGPC7XCY8A3A046R8XGB2BWGY6" hidden="1">#REF!</definedName>
    <definedName name="BExGVMHST2M5TICPRJEN2DQPR4I0" localSheetId="0" hidden="1">Invoice #REF!</definedName>
    <definedName name="BExGVMHST2M5TICPRJEN2DQPR4I0" hidden="1">Invoice #REF!</definedName>
    <definedName name="BExGVZJ28G95DOS85QV52W5OPKMQ" localSheetId="0" hidden="1">Invoice #REF!</definedName>
    <definedName name="BExGVZJ28G95DOS85QV52W5OPKMQ" hidden="1">Invoice #REF!</definedName>
    <definedName name="BExGWAM9T7OAFXHVQ792MNDAU4IP" hidden="1">#REF!</definedName>
    <definedName name="BExGYXX7ZVT7MHRUECQ26IWO13L9" hidden="1">#REF!</definedName>
    <definedName name="BExGZA29HUPHZYBYIDJXYG1QPZYB" localSheetId="0" hidden="1">Invoice #REF!</definedName>
    <definedName name="BExGZA29HUPHZYBYIDJXYG1QPZYB" hidden="1">Invoice #REF!</definedName>
    <definedName name="BExH02TWCYIB3GEMF5BPNY6QMDO3" localSheetId="0" hidden="1">Invoice #REF!</definedName>
    <definedName name="BExH02TWCYIB3GEMF5BPNY6QMDO3" hidden="1">Invoice #REF!</definedName>
    <definedName name="BExH2DP631XMDXCQKIPAQLX3E9Z2" localSheetId="0" hidden="1">Invoice #REF!</definedName>
    <definedName name="BExH2DP631XMDXCQKIPAQLX3E9Z2" hidden="1">Invoice #REF!</definedName>
    <definedName name="BExH2Z4OLBM6ADNDH5J0DTY9IYIT" localSheetId="0" hidden="1">Invoice #REF!</definedName>
    <definedName name="BExH2Z4OLBM6ADNDH5J0DTY9IYIT" hidden="1">Invoice #REF!</definedName>
    <definedName name="BExH3E9HIVYHZMBPRYJSMIU336RM" localSheetId="0" hidden="1">Invoice #REF!</definedName>
    <definedName name="BExH3E9HIVYHZMBPRYJSMIU336RM" hidden="1">Invoice #REF!</definedName>
    <definedName name="BExIJHVBJHH063JSQ9MMBI9CYUWQ" localSheetId="0" hidden="1">Invoice #REF!</definedName>
    <definedName name="BExIJHVBJHH063JSQ9MMBI9CYUWQ" hidden="1">Invoice #REF!</definedName>
    <definedName name="BExILS519ZF0RO9JWK48JIWCJS1P" hidden="1">#REF!</definedName>
    <definedName name="BExIO05IAF6Q7KQX71MOGCMHHIHU" localSheetId="0" hidden="1">Invoice #REF!</definedName>
    <definedName name="BExIO05IAF6Q7KQX71MOGCMHHIHU" hidden="1">Invoice #REF!</definedName>
    <definedName name="BExIO8UETU8ARAO9CZYLPT5599AL" localSheetId="0" hidden="1">Invoice #REF!</definedName>
    <definedName name="BExIO8UETU8ARAO9CZYLPT5599AL" hidden="1">Invoice #REF!</definedName>
    <definedName name="BExIOTZ593XJPEPUG029AAXM2O03" hidden="1">#REF!</definedName>
    <definedName name="BExIPGLOGBMRBLUYS1O0W63O0UTC" localSheetId="0" hidden="1">Invoice #REF!</definedName>
    <definedName name="BExIPGLOGBMRBLUYS1O0W63O0UTC" hidden="1">Invoice #REF!</definedName>
    <definedName name="BExISWZ9ZP5WSQCD0S4SPK8P7XXW" localSheetId="0" hidden="1">Invoice #REF!</definedName>
    <definedName name="BExISWZ9ZP5WSQCD0S4SPK8P7XXW" hidden="1">Invoice #REF!</definedName>
    <definedName name="BExIUKRQM8ZXCA5NDUXRA5OWNFYD" localSheetId="0" hidden="1">Invoice #REF!</definedName>
    <definedName name="BExIUKRQM8ZXCA5NDUXRA5OWNFYD" hidden="1">Invoice #REF!</definedName>
    <definedName name="BExIUL7TAV7KAH8AKEKBKUAT22XZ" hidden="1">#REF!</definedName>
    <definedName name="BExIWSHM6PEQQZFJO8R648IUXUV2" hidden="1">#REF!</definedName>
    <definedName name="BExIX4H5Q0E4FOHNBMSTJPDL07WD" localSheetId="0" hidden="1">Invoice #REF!</definedName>
    <definedName name="BExIX4H5Q0E4FOHNBMSTJPDL07WD" hidden="1">Invoice #REF!</definedName>
    <definedName name="BExIYJ9XWZ023WRZ187NFSK2SP96" localSheetId="0" hidden="1">Invoice #REF!</definedName>
    <definedName name="BExIYJ9XWZ023WRZ187NFSK2SP96" hidden="1">Invoice #REF!</definedName>
    <definedName name="BExJ08V52PFYNBF06Q7XG6SZKM6C" localSheetId="0" hidden="1">Invoice #REF!</definedName>
    <definedName name="BExJ08V52PFYNBF06Q7XG6SZKM6C" hidden="1">Invoice #REF!</definedName>
    <definedName name="BExJ0Y1HJQSJJ2TLATZVLG707EGP" localSheetId="0" hidden="1">Invoice #REF!</definedName>
    <definedName name="BExJ0Y1HJQSJJ2TLATZVLG707EGP" hidden="1">Invoice #REF!</definedName>
    <definedName name="BExKDPWX313D5BGX0BO3D1B20JI0" localSheetId="0" hidden="1">Invoice #REF!</definedName>
    <definedName name="BExKDPWX313D5BGX0BO3D1B20JI0" hidden="1">Invoice #REF!</definedName>
    <definedName name="BExKGZJR2B3192CHDSFYBVRF283W" hidden="1">#REF!</definedName>
    <definedName name="BExKI9UOW51LJAC1HV3MNIAYFXA1" localSheetId="0" hidden="1">Invoice #REF!</definedName>
    <definedName name="BExKI9UOW51LJAC1HV3MNIAYFXA1" hidden="1">Invoice #REF!</definedName>
    <definedName name="BExKN1VLSTL76BP8DQ26RKLF8LBR" localSheetId="0" hidden="1">Invoice #REF!</definedName>
    <definedName name="BExKN1VLSTL76BP8DQ26RKLF8LBR" hidden="1">Invoice #REF!</definedName>
    <definedName name="BExKOIBMRCALIR47KOD25X8DPTXA" localSheetId="0" hidden="1">Invoice #REF!</definedName>
    <definedName name="BExKOIBMRCALIR47KOD25X8DPTXA" hidden="1">Invoice #REF!</definedName>
    <definedName name="BExKP23RUATCHLU8NT330EGT541N" localSheetId="0" hidden="1">Invoice #REF!</definedName>
    <definedName name="BExKP23RUATCHLU8NT330EGT541N" hidden="1">Invoice #REF!</definedName>
    <definedName name="BExKP2EJT151MWQC7U80XM1SV2UW" localSheetId="0" hidden="1">Invoice #REF!</definedName>
    <definedName name="BExKP2EJT151MWQC7U80XM1SV2UW" hidden="1">Invoice #REF!</definedName>
    <definedName name="BExKQIJTO6OK98OOXX4J9RC863OG" hidden="1">#REF!</definedName>
    <definedName name="BExKRJ9KUGGJSNQIV95A4A14Y0Q9" localSheetId="0" hidden="1">Invoice #REF!</definedName>
    <definedName name="BExKRJ9KUGGJSNQIV95A4A14Y0Q9" hidden="1">Invoice #REF!</definedName>
    <definedName name="BExKVGKOBBGRQOBY9IY76O9RO8J8" localSheetId="0" hidden="1">Invoice #REF!</definedName>
    <definedName name="BExKVGKOBBGRQOBY9IY76O9RO8J8" hidden="1">Invoice #REF!</definedName>
    <definedName name="BExM9WJD1FSESE8ZI06KDRYKUHNG" localSheetId="0" hidden="1">Invoice #REF!</definedName>
    <definedName name="BExM9WJD1FSESE8ZI06KDRYKUHNG" hidden="1">Invoice #REF!</definedName>
    <definedName name="BExMAJBDPLXQVUU3YSVKJSSUT2L2" localSheetId="0" hidden="1">Invoice #REF!</definedName>
    <definedName name="BExMAJBDPLXQVUU3YSVKJSSUT2L2" hidden="1">Invoice #REF!</definedName>
    <definedName name="BExMCS8EPYO4JACHKPBWJ9NR5L1S" localSheetId="0" hidden="1">Invoice #REF!</definedName>
    <definedName name="BExMCS8EPYO4JACHKPBWJ9NR5L1S" hidden="1">Invoice #REF!</definedName>
    <definedName name="BExMFO89LT8N2UBLWHSWH4QZT9JV" hidden="1">#REF!</definedName>
    <definedName name="BExMH06M76CJG7QB96CR8HBMXSGQ" localSheetId="0" hidden="1">Invoice #REF!</definedName>
    <definedName name="BExMH06M76CJG7QB96CR8HBMXSGQ" hidden="1">Invoice #REF!</definedName>
    <definedName name="BExMI3FVQSRQV7K3Q2PR8BKSGPDV" localSheetId="0" hidden="1">Invoice #REF!</definedName>
    <definedName name="BExMI3FVQSRQV7K3Q2PR8BKSGPDV" hidden="1">Invoice #REF!</definedName>
    <definedName name="BExMJ8I2WES3X7KJLGF95JHQR50Z" localSheetId="0" hidden="1">Invoice #REF!</definedName>
    <definedName name="BExMJ8I2WES3X7KJLGF95JHQR50Z" hidden="1">Invoice #REF!</definedName>
    <definedName name="BExMLIM9RT7CVCN6BDV6OGSW5JAF" hidden="1">#REF!</definedName>
    <definedName name="BExMORYC8ZYJ1WYNVI1GKQCPZ2L4" localSheetId="0" hidden="1">Invoice #REF!</definedName>
    <definedName name="BExMORYC8ZYJ1WYNVI1GKQCPZ2L4" hidden="1">Invoice #REF!</definedName>
    <definedName name="BExMPXRDGMDMD52QXFPCYUIS4WAK" hidden="1">#REF!</definedName>
    <definedName name="BExO5WF4WKIC615WEDOGQHV87SJZ" localSheetId="0" hidden="1">Invoice #REF!</definedName>
    <definedName name="BExO5WF4WKIC615WEDOGQHV87SJZ" hidden="1">Invoice #REF!</definedName>
    <definedName name="BExO8U7PCE98UD7OS9NGZOZLIFLQ" localSheetId="0" hidden="1">Invoice #REF!</definedName>
    <definedName name="BExO8U7PCE98UD7OS9NGZOZLIFLQ" hidden="1">Invoice #REF!</definedName>
    <definedName name="BExOA60LJUN1KKURFFXJH11PVD2K" localSheetId="0" hidden="1">Invoice #REF!</definedName>
    <definedName name="BExOA60LJUN1KKURFFXJH11PVD2K" hidden="1">Invoice #REF!</definedName>
    <definedName name="BExOARLFCHJONVVDLN8RL1PX43LS" localSheetId="0" hidden="1">Invoice #REF!</definedName>
    <definedName name="BExOARLFCHJONVVDLN8RL1PX43LS" hidden="1">Invoice #REF!</definedName>
    <definedName name="BExOBPWS5GJVQYF6Q5420YI3N48Q" localSheetId="0" hidden="1">Invoice #REF!</definedName>
    <definedName name="BExOBPWS5GJVQYF6Q5420YI3N48Q" hidden="1">Invoice #REF!</definedName>
    <definedName name="BExOC6E78KFCFGQX03BYTFA5IMT2" localSheetId="0" hidden="1">Invoice #REF!</definedName>
    <definedName name="BExOC6E78KFCFGQX03BYTFA5IMT2" hidden="1">Invoice #REF!</definedName>
    <definedName name="BExOC8XTPED09KOP2Q4FB7Q923TO" localSheetId="0" hidden="1">Invoice #REF!</definedName>
    <definedName name="BExOC8XTPED09KOP2Q4FB7Q923TO" hidden="1">Invoice #REF!</definedName>
    <definedName name="BExOGB713ZFI49J155I57PDZMYQ3" localSheetId="0" hidden="1">Invoice #REF!</definedName>
    <definedName name="BExOGB713ZFI49J155I57PDZMYQ3" hidden="1">Invoice #REF!</definedName>
    <definedName name="BExOHXHHFCRKEUE0DCB3X80VF3ZG" localSheetId="0" hidden="1">Invoice #REF!</definedName>
    <definedName name="BExOHXHHFCRKEUE0DCB3X80VF3ZG" hidden="1">Invoice #REF!</definedName>
    <definedName name="BExOIZJT7FPW7JTFB672UL8B4F0Y" localSheetId="0" hidden="1">Invoice #REF!</definedName>
    <definedName name="BExOIZJT7FPW7JTFB672UL8B4F0Y" hidden="1">Invoice #REF!</definedName>
    <definedName name="BExOKD59N06SP7JLZLIYYVA36012" localSheetId="0" hidden="1">Invoice #REF!</definedName>
    <definedName name="BExOKD59N06SP7JLZLIYYVA36012" hidden="1">Invoice #REF!</definedName>
    <definedName name="BExOKVFG9KFG9U7C2GL9AUNSR34I" localSheetId="0" hidden="1">Invoice #REF!</definedName>
    <definedName name="BExOKVFG9KFG9U7C2GL9AUNSR34I" hidden="1">Invoice #REF!</definedName>
    <definedName name="BExOOJAP910F828AGE3BLS3C6D6L" localSheetId="0" hidden="1">Invoice #REF!</definedName>
    <definedName name="BExOOJAP910F828AGE3BLS3C6D6L" hidden="1">Invoice #REF!</definedName>
    <definedName name="BExOP9DDTAW8RFTW0RQYFX5AUH5W" localSheetId="0" hidden="1">Invoice #REF!</definedName>
    <definedName name="BExOP9DDTAW8RFTW0RQYFX5AUH5W" hidden="1">Invoice #REF!</definedName>
    <definedName name="BExQ2STHQZ5GRLJXVPGPLEOAJYOM" hidden="1">#REF!</definedName>
    <definedName name="BExQ365KRC48YWDNJ65RSABFB37T" hidden="1">#REF!</definedName>
    <definedName name="BExQ59TW6AVZP2EZUSBZBPAX7RL2" localSheetId="0" hidden="1">Invoice #REF!</definedName>
    <definedName name="BExQ59TW6AVZP2EZUSBZBPAX7RL2" hidden="1">Invoice #REF!</definedName>
    <definedName name="BExQ91LEGGLMIA06EI5KUB9YNEP0" localSheetId="0" hidden="1">Invoice #REF!</definedName>
    <definedName name="BExQ91LEGGLMIA06EI5KUB9YNEP0" hidden="1">Invoice #REF!</definedName>
    <definedName name="BExQ96E1UXWEOVVWJCO11CKPN4PW" hidden="1">#REF!</definedName>
    <definedName name="BExQ9K0VOFE2IA5I8HKE3EQ1IE1B" hidden="1">#REF!</definedName>
    <definedName name="BExQ9XIFKENGUBQ3QN11YX5G1NFB" hidden="1">#REF!</definedName>
    <definedName name="BExQAB5GUS3EJU3BPVHTPYU3LSWG" localSheetId="0" hidden="1">Invoice #REF!</definedName>
    <definedName name="BExQAB5GUS3EJU3BPVHTPYU3LSWG" hidden="1">Invoice #REF!</definedName>
    <definedName name="BExQBOLJOC9D35ZDFG1Q1BEMZHA6" localSheetId="0" hidden="1">Invoice #REF!</definedName>
    <definedName name="BExQBOLJOC9D35ZDFG1Q1BEMZHA6" hidden="1">Invoice #REF!</definedName>
    <definedName name="BExQC6VQEBEIGXO66C5UPDBW5AJC" localSheetId="0" hidden="1">Invoice #REF!</definedName>
    <definedName name="BExQC6VQEBEIGXO66C5UPDBW5AJC" hidden="1">Invoice #REF!</definedName>
    <definedName name="BExQCH7V9I4N56VL4J1RKSB6WWW1" localSheetId="0" hidden="1">Invoice #REF!</definedName>
    <definedName name="BExQCH7V9I4N56VL4J1RKSB6WWW1" hidden="1">Invoice #REF!</definedName>
    <definedName name="BExQD8N2NSGNZXTCAF2CRF8B7EKB" localSheetId="0" hidden="1">Invoice #REF!</definedName>
    <definedName name="BExQD8N2NSGNZXTCAF2CRF8B7EKB" hidden="1">Invoice #REF!</definedName>
    <definedName name="BExQDVPUO2OW43W3PF23X9ZDKHVW" localSheetId="0" hidden="1">Invoice #REF!</definedName>
    <definedName name="BExQDVPUO2OW43W3PF23X9ZDKHVW" hidden="1">Invoice #REF!</definedName>
    <definedName name="BExQEO6VV37MVOF2AS5IOCVFCL4P" localSheetId="0" hidden="1">Invoice #REF!</definedName>
    <definedName name="BExQEO6VV37MVOF2AS5IOCVFCL4P" hidden="1">Invoice #REF!</definedName>
    <definedName name="BExQK5JME8PE6FDJOB3PKM7JH4M2" localSheetId="0" hidden="1">Invoice #REF!</definedName>
    <definedName name="BExQK5JME8PE6FDJOB3PKM7JH4M2" hidden="1">Invoice #REF!</definedName>
    <definedName name="BExRZBA27N3FBMUQ7UX15RK505IB" hidden="1">#REF!</definedName>
    <definedName name="BExS01I8932FQSRYAK4FDRLJT0QR" localSheetId="0" hidden="1">Invoice #REF!</definedName>
    <definedName name="BExS01I8932FQSRYAK4FDRLJT0QR" hidden="1">Invoice #REF!</definedName>
    <definedName name="BExS74EFJRC56TTGI8S1OWM6PH1F" localSheetId="0" hidden="1">Invoice #REF!</definedName>
    <definedName name="BExS74EFJRC56TTGI8S1OWM6PH1F" hidden="1">Invoice #REF!</definedName>
    <definedName name="BExSDRPK33LB8I714ZBMMW1OUKQT" hidden="1">#REF!</definedName>
    <definedName name="BExSGEEVUH61BZPYAKBDLQG9MS0S" localSheetId="0" hidden="1">Invoice #REF!</definedName>
    <definedName name="BExSGEEVUH61BZPYAKBDLQG9MS0S" hidden="1">Invoice #REF!</definedName>
    <definedName name="BExTVBBBZAY0DVW7UN10E25T2PU3" hidden="1">#REF!</definedName>
    <definedName name="BExTVS8V7XZMFYTPW0PR4EIQPMHC" localSheetId="0" hidden="1">Invoice #REF!</definedName>
    <definedName name="BExTVS8V7XZMFYTPW0PR4EIQPMHC" hidden="1">Invoice #REF!</definedName>
    <definedName name="BExTWGO3IHOQXV6NMBQ6DVL0BQWK" localSheetId="0" hidden="1">Invoice #REF!</definedName>
    <definedName name="BExTWGO3IHOQXV6NMBQ6DVL0BQWK" hidden="1">Invoice #REF!</definedName>
    <definedName name="BExTXY0NVL8G5RX577OQHHBQR3JV" localSheetId="0" hidden="1">Invoice #REF!</definedName>
    <definedName name="BExTXY0NVL8G5RX577OQHHBQR3JV" hidden="1">Invoice #REF!</definedName>
    <definedName name="BExTZ26BW0E0MTXBFJUUN1LA9202" localSheetId="0" hidden="1">Invoice #REF!</definedName>
    <definedName name="BExTZ26BW0E0MTXBFJUUN1LA9202" hidden="1">Invoice #REF!</definedName>
    <definedName name="BExTZQR1OSKN4GSRK1HRZ4EQ564M" localSheetId="0" hidden="1">Invoice #REF!</definedName>
    <definedName name="BExTZQR1OSKN4GSRK1HRZ4EQ564M" hidden="1">Invoice #REF!</definedName>
    <definedName name="BExTZXCGIOCVT7HBQGNZ5YWDQMCF" localSheetId="0" hidden="1">Invoice #REF!</definedName>
    <definedName name="BExTZXCGIOCVT7HBQGNZ5YWDQMCF" hidden="1">Invoice #REF!</definedName>
    <definedName name="BExU0WUYAOU996L08B95ZWN7V28Q" localSheetId="0" hidden="1">Invoice #REF!</definedName>
    <definedName name="BExU0WUYAOU996L08B95ZWN7V28Q" hidden="1">Invoice #REF!</definedName>
    <definedName name="BExU1SXGJN4ZYO7KYIOR9B99KKAD" localSheetId="0" hidden="1">Invoice #REF!</definedName>
    <definedName name="BExU1SXGJN4ZYO7KYIOR9B99KKAD" hidden="1">Invoice #REF!</definedName>
    <definedName name="BExU3PUWCIR9FEF4SGUS40QMKDRO" localSheetId="0" hidden="1">Invoice #REF!</definedName>
    <definedName name="BExU3PUWCIR9FEF4SGUS40QMKDRO" hidden="1">Invoice #REF!</definedName>
    <definedName name="BExU4FC0L8ZVK7E2W35SWVUBTEAQ" localSheetId="0" hidden="1">Invoice #REF!</definedName>
    <definedName name="BExU4FC0L8ZVK7E2W35SWVUBTEAQ" hidden="1">Invoice #REF!</definedName>
    <definedName name="BExU6D5V7XWMV8UOE5FL4R7W579S" hidden="1">#REF!</definedName>
    <definedName name="BExU6GWRUZF90R6J7MGTP5MMN6ST" hidden="1">#REF!</definedName>
    <definedName name="BExU6HT62LVTFIDMMK5PJWF87VSK" hidden="1">#REF!</definedName>
    <definedName name="BExU6NY9687ZRVWQ6SOE6NDRXDDD" localSheetId="0" hidden="1">Invoice #REF!</definedName>
    <definedName name="BExU6NY9687ZRVWQ6SOE6NDRXDDD" hidden="1">Invoice #REF!</definedName>
    <definedName name="BExU84EGISXRPHM4579I0CHWY1LP" hidden="1">#REF!</definedName>
    <definedName name="BExVTSNJAUI4ENFR0NPA1B8H8S18" localSheetId="0" hidden="1">Invoice #REF!</definedName>
    <definedName name="BExVTSNJAUI4ENFR0NPA1B8H8S18" hidden="1">Invoice #REF!</definedName>
    <definedName name="BExVUDS4MKQD7EPNDXC7785GIXW3" localSheetId="0" hidden="1">Invoice #REF!</definedName>
    <definedName name="BExVUDS4MKQD7EPNDXC7785GIXW3" hidden="1">Invoice #REF!</definedName>
    <definedName name="BExVX5FMUSBK9V1KGDPOY6YFI4XY" localSheetId="0" hidden="1">Invoice #REF!</definedName>
    <definedName name="BExVX5FMUSBK9V1KGDPOY6YFI4XY" hidden="1">Invoice #REF!</definedName>
    <definedName name="BExVZBYHW22U4DHJHJHDJW38PPD0" localSheetId="0" hidden="1">Invoice #REF!</definedName>
    <definedName name="BExVZBYHW22U4DHJHJHDJW38PPD0" hidden="1">Invoice #REF!</definedName>
    <definedName name="BExW1J84TMPZHK51077BGQ7ZNPJH" localSheetId="0" hidden="1">Invoice #REF!</definedName>
    <definedName name="BExW1J84TMPZHK51077BGQ7ZNPJH" hidden="1">Invoice #REF!</definedName>
    <definedName name="BExW2C57C6QNBGHQ2H5HL6NBOWAY" localSheetId="0" hidden="1">Invoice #REF!</definedName>
    <definedName name="BExW2C57C6QNBGHQ2H5HL6NBOWAY" hidden="1">Invoice #REF!</definedName>
    <definedName name="BExW2Y6CMJT86FJS89355TACI8SE" localSheetId="0" hidden="1">Invoice #REF!</definedName>
    <definedName name="BExW2Y6CMJT86FJS89355TACI8SE" hidden="1">Invoice #REF!</definedName>
    <definedName name="BExW4B686AVZG019F02QA0GANTON" localSheetId="0" hidden="1">Invoice #REF!</definedName>
    <definedName name="BExW4B686AVZG019F02QA0GANTON" hidden="1">Invoice #REF!</definedName>
    <definedName name="BExW5PIW01UE92NNNV3RJOPUB1WK" hidden="1">#REF!</definedName>
    <definedName name="BExW6241M9S8QORBP0GET8B3PQCQ" localSheetId="0" hidden="1">Invoice #REF!</definedName>
    <definedName name="BExW6241M9S8QORBP0GET8B3PQCQ" hidden="1">Invoice #REF!</definedName>
    <definedName name="BExW73KSDMO1XUM53DUHXOI6FDII" localSheetId="0" hidden="1">Invoice #REF!</definedName>
    <definedName name="BExW73KSDMO1XUM53DUHXOI6FDII" hidden="1">Invoice #REF!</definedName>
    <definedName name="BExW8AQA9T8W323X23BQJ2XQ3PBX" localSheetId="0" hidden="1">Invoice #REF!</definedName>
    <definedName name="BExW8AQA9T8W323X23BQJ2XQ3PBX" hidden="1">Invoice #REF!</definedName>
    <definedName name="BExW8XT4E20LXHQ6GWFR39D8LJ87" localSheetId="0" hidden="1">Invoice #REF!</definedName>
    <definedName name="BExW8XT4E20LXHQ6GWFR39D8LJ87" hidden="1">Invoice #REF!</definedName>
    <definedName name="BExXOBXT1DTVLOWJ1XD3VCVNO4P4" hidden="1">#REF!</definedName>
    <definedName name="BExXORDEY625CJ3EG7WPFV5KBZK1" hidden="1">#REF!</definedName>
    <definedName name="BExXPPE4CBHQ566TTWO6B7UNV35W" localSheetId="0" hidden="1">Invoice #REF!</definedName>
    <definedName name="BExXPPE4CBHQ566TTWO6B7UNV35W" hidden="1">Invoice #REF!</definedName>
    <definedName name="BExXQT3IE29SA33J02PT6D3SPI66" localSheetId="0" hidden="1">Invoice #REF!</definedName>
    <definedName name="BExXQT3IE29SA33J02PT6D3SPI66" hidden="1">Invoice #REF!</definedName>
    <definedName name="BExXRDBWJ9MG1HDC253CJYP67HZJ" localSheetId="0" hidden="1">Invoice #REF!</definedName>
    <definedName name="BExXRDBWJ9MG1HDC253CJYP67HZJ" hidden="1">Invoice #REF!</definedName>
    <definedName name="BExXWR35FZY1PE5L7W8H39BE2KXZ" localSheetId="0" hidden="1">Invoice #REF!</definedName>
    <definedName name="BExXWR35FZY1PE5L7W8H39BE2KXZ" hidden="1">Invoice #REF!</definedName>
    <definedName name="BExXWVVLX0A2QBSGIWWVGQUFAUPC" localSheetId="0" hidden="1">Invoice #REF!</definedName>
    <definedName name="BExXWVVLX0A2QBSGIWWVGQUFAUPC" hidden="1">Invoice #REF!</definedName>
    <definedName name="BExXYNKHPYNTGASHVX92Z4AQV8XP" localSheetId="0" hidden="1">Invoice #REF!</definedName>
    <definedName name="BExXYNKHPYNTGASHVX92Z4AQV8XP" hidden="1">Invoice #REF!</definedName>
    <definedName name="BExXZDXU9BT8BCSRVR0W1AO5UCML" localSheetId="0" hidden="1">Invoice #REF!</definedName>
    <definedName name="BExXZDXU9BT8BCSRVR0W1AO5UCML" hidden="1">Invoice #REF!</definedName>
    <definedName name="BExXZS68HCI621TQI1PZBDQS1NBX" localSheetId="0" hidden="1">Invoice #REF!</definedName>
    <definedName name="BExXZS68HCI621TQI1PZBDQS1NBX" hidden="1">Invoice #REF!</definedName>
    <definedName name="BExY0E7C0C8XBDT6A0FHN2O5AOQ7" hidden="1">#REF!</definedName>
    <definedName name="BExY44BIEVLQAKRIWI1X7IYIXQUS" localSheetId="0" hidden="1">Invoice #REF!</definedName>
    <definedName name="BExY44BIEVLQAKRIWI1X7IYIXQUS" hidden="1">Invoice #REF!</definedName>
    <definedName name="BExY4NNCBUFTANOCFKMDGOPBUAL2" localSheetId="0" hidden="1">Invoice #REF!</definedName>
    <definedName name="BExY4NNCBUFTANOCFKMDGOPBUAL2" hidden="1">Invoice #REF!</definedName>
    <definedName name="BExY4OP7W5OBKGH2CXHEFM0OJCYA" localSheetId="0" hidden="1">Invoice #REF!</definedName>
    <definedName name="BExY4OP7W5OBKGH2CXHEFM0OJCYA" hidden="1">Invoice #REF!</definedName>
    <definedName name="BExY5EX6913MBU34313UMH6O7Q8N" hidden="1">#REF!</definedName>
    <definedName name="BExZJUFT4U16PQSUQT481TXLKHYR" hidden="1">#REF!</definedName>
    <definedName name="BExZL1W9DDKHBGGM79TBRY3BFUSW" localSheetId="0" hidden="1">Invoice #REF!</definedName>
    <definedName name="BExZL1W9DDKHBGGM79TBRY3BFUSW" hidden="1">Invoice #REF!</definedName>
    <definedName name="BExZL86P18M8MFPUAPBOM8IB3L2V" localSheetId="0" hidden="1">Invoice #REF!</definedName>
    <definedName name="BExZL86P18M8MFPUAPBOM8IB3L2V" hidden="1">Invoice #REF!</definedName>
    <definedName name="BExZPUO3V0W29IVGL9HAA2FH8J7V" localSheetId="0" hidden="1">Invoice #REF!</definedName>
    <definedName name="BExZPUO3V0W29IVGL9HAA2FH8J7V" hidden="1">Invoice #REF!</definedName>
    <definedName name="BExZPVV8K91DBI3POFTVJO5EXCR1" localSheetId="0" hidden="1">Invoice #REF!</definedName>
    <definedName name="BExZPVV8K91DBI3POFTVJO5EXCR1" hidden="1">Invoice #REF!</definedName>
    <definedName name="BExZUS8R7A69FYVTA82RXEM2BZ6D" localSheetId="0" hidden="1">Invoice #REF!</definedName>
    <definedName name="BExZUS8R7A69FYVTA82RXEM2BZ6D" hidden="1">Invoice #REF!</definedName>
    <definedName name="BG" localSheetId="0" hidden="1">{#N/A,#N/A,FALSE,"Performance_Products_Sold"}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Del" hidden="1">15</definedName>
    <definedName name="BG_Ins" hidden="1">4</definedName>
    <definedName name="BG_Mod" hidden="1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h" localSheetId="0" hidden="1">{#N/A,#N/A,FALSE,"Performance_Products_Sold"}</definedName>
    <definedName name="bh" hidden="1">{#N/A,#N/A,FALSE,"Performance_Products_Sold"}</definedName>
    <definedName name="BLPH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2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oerse" localSheetId="0" hidden="1">{"standalone1",#N/A,FALSE,"DCFBase";"standalone2",#N/A,FALSE,"DCFBase"}</definedName>
    <definedName name="boerse" hidden="1">{"standalone1",#N/A,FALSE,"DCFBase";"standalone2",#N/A,FALSE,"DCFBase"}</definedName>
    <definedName name="bt" localSheetId="0" hidden="1">{#N/A,#N/A,FALSE,"Performance_Products_Sold"}</definedName>
    <definedName name="bt" hidden="1">{#N/A,#N/A,FALSE,"Performance_Products_Sold"}</definedName>
    <definedName name="Bthal" hidden="1">#REF!</definedName>
    <definedName name="bthal123" hidden="1">#REF!</definedName>
    <definedName name="bu" localSheetId="0" hidden="1">{#N/A,#N/A,FALSE,"Performance_Products_Sold"}</definedName>
    <definedName name="bu" hidden="1">{#N/A,#N/A,FALSE,"Performance_Products_Sold"}</definedName>
    <definedName name="bumba" localSheetId="0" hidden="1">{"mgmt forecast",#N/A,FALSE,"Mgmt Forecast";"dcf table",#N/A,FALSE,"Mgmt Forecast";"sensitivity",#N/A,FALSE,"Mgmt Forecast";"table inputs",#N/A,FALSE,"Mgmt Forecast";"calculations",#N/A,FALSE,"Mgmt Forecast"}</definedName>
    <definedName name="bumba" hidden="1">{"mgmt forecast",#N/A,FALSE,"Mgmt Forecast";"dcf table",#N/A,FALSE,"Mgmt Forecast";"sensitivity",#N/A,FALSE,"Mgmt Forecast";"table inputs",#N/A,FALSE,"Mgmt Forecast";"calculations",#N/A,FALSE,"Mgmt Forecast"}</definedName>
    <definedName name="BV" localSheetId="0" hidden="1">{#N/A,#N/A,FALSE,"Performance_Products_Sold"}</definedName>
    <definedName name="BV" hidden="1">{#N/A,#N/A,FALSE,"Performance_Products_Sold"}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WorkbookPriority" hidden="1">-751748827</definedName>
    <definedName name="cccc" hidden="1">{"sales",#N/A,FALSE,"AGN Model";"p&amp;L growth",#N/A,FALSE,"AGN Model";"cash flow",#N/A,FALSE,"AGN Model";"balance sheet",#N/A,FALSE,"AGN Model"}</definedName>
    <definedName name="cd" localSheetId="0" hidden="1">{"Build1",#N/A,FALSE,"Buildup";"Build2",#N/A,FALSE,"Buildup";"Build3",#N/A,FALSE,"Buildup"}</definedName>
    <definedName name="cd" hidden="1">{"Build1",#N/A,FALSE,"Buildup";"Build2",#N/A,FALSE,"Buildup";"Build3",#N/A,FALSE,"Buildup"}</definedName>
    <definedName name="ce" localSheetId="0" hidden="1">{#N/A,#N/A,FALSE,"Performance_Products_Sold"}</definedName>
    <definedName name="ce" hidden="1">{#N/A,#N/A,FALSE,"Performance_Products_Sold"}</definedName>
    <definedName name="cf" localSheetId="0" hidden="1">{#N/A,#N/A,FALSE,"Performance_Products_Sold"}</definedName>
    <definedName name="cf" hidden="1">{#N/A,#N/A,FALSE,"Performance_Products_Sold"}</definedName>
    <definedName name="cha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rt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rtVar_Look" hidden="1">OFFSET(#REF!,0,0,#REF!,1)</definedName>
    <definedName name="checknames" localSheetId="0" hidden="1">{#N/A,#N/A,FALSE,"Performance_Products_Sold"}</definedName>
    <definedName name="checknames" hidden="1">{#N/A,#N/A,FALSE,"Performance_Products_Sold"}</definedName>
    <definedName name="checknames1" localSheetId="0" hidden="1">{#N/A,#N/A,FALSE,"Performance_Products_Sold"}</definedName>
    <definedName name="checknames1" hidden="1">{#N/A,#N/A,FALSE,"Performance_Products_Sold"}</definedName>
    <definedName name="checknames2" localSheetId="0" hidden="1">{#N/A,#N/A,FALSE,"Performance_Products_Sold"}</definedName>
    <definedName name="checknames2" hidden="1">{#N/A,#N/A,FALSE,"Performance_Products_Sold"}</definedName>
    <definedName name="CIQWBGuid" hidden="1">"fe97de0e-ddbe-4962-9eda-86f2712ac4a3"</definedName>
    <definedName name="cj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cj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cjw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cjw" hidden="1">{#N/A,#N/A,FALSE,"Antony Financials";#N/A,#N/A,FALSE,"Cowboy Financials";#N/A,#N/A,FALSE,"Combined";#N/A,#N/A,FALSE,"Valuematrix";#N/A,#N/A,FALSE,"DCFAntony";#N/A,#N/A,FALSE,"DCFCowboy";#N/A,#N/A,FALSE,"DCFCombined"}</definedName>
    <definedName name="ClinConsNeil" localSheetId="0" hidden="1">{#N/A,#N/A,FALSE,"1996 labor";#N/A,#N/A,FALSE,"1996 CASH FLOWS"}</definedName>
    <definedName name="ClinConsNeil" hidden="1">{#N/A,#N/A,FALSE,"1996 labor";#N/A,#N/A,FALSE,"1996 CASH FLOWS"}</definedName>
    <definedName name="Code" hidden="1">#REF!</definedName>
    <definedName name="Code2Month_Look" hidden="1">#REF!</definedName>
    <definedName name="Constant1" hidden="1">#REF!</definedName>
    <definedName name="Constant2" hidden="1">#REF!</definedName>
    <definedName name="copy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cop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CorrFactor_Look" hidden="1">#REF!</definedName>
    <definedName name="cox" hidden="1">{#N/A,#N/A,FALSE,"Time Warner";#N/A,#N/A,FALSE,"Entertainment Group";#N/A,#N/A,FALSE,"EBITDA";#N/A,#N/A,FALSE,"Notes"}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1000000</definedName>
    <definedName name="Curr1" hidden="1">#REF!</definedName>
    <definedName name="Curr2" hidden="1">#REF!</definedName>
    <definedName name="Cwvu.CISHRF1999." hidden="1">#REF!,#REF!,#REF!,#REF!,#REF!,#REF!,#REF!,#REF!,#REF!,#REF!,#REF!,#REF!,#REF!,#REF!,#REF!,#REF!,#REF!,#REF!,#REF!,#REF!,#REF!,#REF!,#REF!,#REF!,#REF!,#REF!,#REF!</definedName>
    <definedName name="Cwvu.CONS96." hidden="1">#REF!,#REF!</definedName>
    <definedName name="Cwvu.FY94_95Qtr." hidden="1">#REF!,#REF!</definedName>
    <definedName name="Cwvu.GREY_ALL." hidden="1">#REF!</definedName>
    <definedName name="Cwvu.NAMTaxF1999." hidden="1">#REF!,#REF!,#REF!,#REF!,#REF!,#REF!,#REF!,#REF!,#REF!,#REF!,#REF!,#REF!,#REF!,#REF!,#REF!</definedName>
    <definedName name="CX" localSheetId="0" hidden="1">{#N/A,#N/A,FALSE,"Performance_Products_Sold"}</definedName>
    <definedName name="CX" hidden="1">{#N/A,#N/A,FALSE,"Performance_Products_Sold"}</definedName>
    <definedName name="d" localSheetId="0" hidden="1">{#N/A,#N/A,FALSE,"Performance_Products_Sold"}</definedName>
    <definedName name="d" hidden="1">{"quart",#N/A,FALSE,"quartfin"}</definedName>
    <definedName name="d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ATA_06" hidden="1">#REF!</definedName>
    <definedName name="data1" hidden="1">#REF!</definedName>
    <definedName name="data2" hidden="1">#REF!</definedName>
    <definedName name="data3" hidden="1">#REF!</definedName>
    <definedName name="Day" localSheetId="0" hidden="1">{#N/A,#N/A,FALSE,"1996 labor";#N/A,#N/A,FALSE,"1996 CASH FLOWS"}</definedName>
    <definedName name="Day" hidden="1">{#N/A,#N/A,FALSE,"1996 labor";#N/A,#N/A,FALSE,"1996 CASH FLOWS"}</definedName>
    <definedName name="dc" localSheetId="0" hidden="1">{#N/A,#N/A,FALSE,"Performance_Products_Sold"}</definedName>
    <definedName name="dc" hidden="1">{#N/A,#N/A,FALSE,"Performance_Products_Sold"}</definedName>
    <definedName name="dd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dd" hidden="1">{"fdsup://Directions/FactSet Auditing Viewer?action=AUDIT_VALUE&amp;DB=129&amp;ID1=23126910&amp;VALUEID=02001&amp;SDATE=201104&amp;PERIODTYPE=QTR_STD&amp;SCFT=3&amp;window=popup_no_bar&amp;width=385&amp;height=120&amp;START_MAXIMIZED=FALSE&amp;creator=factset&amp;display_string=Audit"}</definedName>
    <definedName name="ddd" localSheetId="0" hidden="1">#REF!</definedName>
    <definedName name="ddd" hidden="1">{"P and L Detail Page 1",#N/A,FALSE,"Data";"P and L Detail Page 2",#N/A,FALSE,"Data"}</definedName>
    <definedName name="dddd" localSheetId="0" hidden="1">#REF!</definedName>
    <definedName name="dd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E" localSheetId="0" hidden="1">{#N/A,#N/A,FALSE,"Performance_Products_Sold"}</definedName>
    <definedName name="DE" hidden="1">{#N/A,#N/A,FALSE,"Performance_Products_Sold"}</definedName>
    <definedName name="DEG" localSheetId="0" hidden="1">{#N/A,#N/A,TRUE,"Sheet2";"Admin Expense",#N/A,TRUE,"Sheet1";"Gross Profit",#N/A,TRUE,"Sheet1";"Product Support",#N/A,TRUE,"Sheet1"}</definedName>
    <definedName name="DEG" hidden="1">{#N/A,#N/A,TRUE,"Sheet2";"Admin Expense",#N/A,TRUE,"Sheet1";"Gross Profit",#N/A,TRUE,"Sheet1";"Product Support",#N/A,TRUE,"Sheet1"}</definedName>
    <definedName name="DELETE" localSheetId="0" hidden="1">{"Rank View 1",#N/A,FALSE,"Forecast Model";"Rank View 2",#N/A,FALSE,"Forecast Model"}</definedName>
    <definedName name="DELETE" hidden="1">{"Rank View 1",#N/A,FALSE,"Forecast Model";"Rank View 2",#N/A,FALSE,"Forecast Model"}</definedName>
    <definedName name="df" localSheetId="0" hidden="1">{#N/A,#N/A,FALSE,"Performance_Products_Sold"}</definedName>
    <definedName name="df" hidden="1">{#N/A,#N/A,FALSE,"Performance_Products_Sold"}</definedName>
    <definedName name="dfds" localSheetId="0" hidden="1">{"Rank View 1",#N/A,FALSE,"Forecast Model";"Rank View 2",#N/A,FALSE,"Forecast Model"}</definedName>
    <definedName name="dfds" hidden="1">{"Rank View 1",#N/A,FALSE,"Forecast Model";"Rank View 2",#N/A,FALSE,"Forecast Model"}</definedName>
    <definedName name="DFF" localSheetId="0" hidden="1">{#N/A,#N/A,FALSE,"Performance_Products_Sold"}</definedName>
    <definedName name="DFF" hidden="1">{#N/A,#N/A,FALSE,"Performance_Products_Sold"}</definedName>
    <definedName name="dfsfds" localSheetId="0" hidden="1">{#N/A,#N/A,FALSE,"UMBRELLA INS."}</definedName>
    <definedName name="dfsfds" hidden="1">{#N/A,#N/A,FALSE,"UMBRELLA INS."}</definedName>
    <definedName name="dg" localSheetId="0" hidden="1">{"mgmt forecast",#N/A,FALSE,"Mgmt Forecast";"dcf table",#N/A,FALSE,"Mgmt Forecast";"sensitivity",#N/A,FALSE,"Mgmt Forecast";"table inputs",#N/A,FALSE,"Mgmt Forecast";"calculations",#N/A,FALSE,"Mgmt Forecast"}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h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id" hidden="1">{"Salesass",#N/A,FALSE,"assumpt"}</definedName>
    <definedName name="Didi" hidden="1">{"Salesass",#N/A,FALSE,"assumpt"}</definedName>
    <definedName name="didnt" hidden="1">{"Salesass",#N/A,FALSE,"assumpt"}</definedName>
    <definedName name="display_area_2" hidden="1">#REF!</definedName>
    <definedName name="dj" localSheetId="0" hidden="1">{#N/A,#N/A,FALSE,"CreditStat";#N/A,#N/A,FALSE,"SPbrkup";#N/A,#N/A,FALSE,"MerSPsyn";#N/A,#N/A,FALSE,"MerSPwKCsyn";#N/A,#N/A,FALSE,"MerSPwKCsyn (2)";#N/A,#N/A,FALSE,"CreditStat (2)"}</definedName>
    <definedName name="dj" hidden="1">{#N/A,#N/A,FALSE,"CreditStat";#N/A,#N/A,FALSE,"SPbrkup";#N/A,#N/A,FALSE,"MerSPsyn";#N/A,#N/A,FALSE,"MerSPwKCsyn";#N/A,#N/A,FALSE,"MerSPwKCsyn (2)";#N/A,#N/A,FALSE,"CreditStat (2)"}</definedName>
    <definedName name="dkdkdk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dlsfjlasdjf" localSheetId="0" hidden="1">{#N/A,#N/A,FALSE,"1996 labor";#N/A,#N/A,FALSE,"1996 CASH FLOWS"}</definedName>
    <definedName name="dlsfjlasdjf" hidden="1">{#N/A,#N/A,FALSE,"1996 labor";#N/A,#N/A,FALSE,"1996 CASH FLOWS"}</definedName>
    <definedName name="Download" localSheetId="0" hidden="1">{"valuation",#N/A,FALSE,"TXTCOMPS"}</definedName>
    <definedName name="Download" hidden="1">{"valuation",#N/A,FALSE,"TXTCOMPS"}</definedName>
    <definedName name="drsiAlpha_In1" hidden="1">0.5</definedName>
    <definedName name="drsiAlpha_In2" hidden="1">0.5</definedName>
    <definedName name="drsiAlpha_In3" hidden="1">0.5</definedName>
    <definedName name="drsiAlpha_In4" hidden="1">0.5</definedName>
    <definedName name="drsiAlpha_In5" hidden="1">0</definedName>
    <definedName name="drsiAlpha_In6" hidden="1">0.5</definedName>
    <definedName name="drsiBatchRangeCount" hidden="1">4</definedName>
    <definedName name="drsiBeta_In1" hidden="1">0.5</definedName>
    <definedName name="drsiBeta_In2" hidden="1">0.5</definedName>
    <definedName name="drsiBeta_In3" hidden="1">0.5</definedName>
    <definedName name="drsiBeta_In4" hidden="1">0.5</definedName>
    <definedName name="drsiBeta_In5" hidden="1">0</definedName>
    <definedName name="drsiBeta_In6" hidden="1">0.5</definedName>
    <definedName name="drsiDamp_In1" hidden="1">0.95</definedName>
    <definedName name="drsiDamp_In2" hidden="1">0.95</definedName>
    <definedName name="drsiDamp_In3" hidden="1">0.95</definedName>
    <definedName name="drsiDamp_In4" hidden="1">0.95</definedName>
    <definedName name="drsiDamp_In5" hidden="1">0</definedName>
    <definedName name="drsiDamp_In6" hidden="1">1</definedName>
    <definedName name="drsiDispRange1" hidden="1">#REF!</definedName>
    <definedName name="drsiDispRange2" hidden="1">#REF!</definedName>
    <definedName name="drsiDispRange3" hidden="1">#REF!</definedName>
    <definedName name="drsiDispRange4" hidden="1">#REF!</definedName>
    <definedName name="drsiDispRange5" hidden="1">#REF!</definedName>
    <definedName name="drsiDispRange6" hidden="1">#REF!</definedName>
    <definedName name="drsiFlag_Damp_Opt1" hidden="1">0</definedName>
    <definedName name="drsiFlag_Damp_Opt2" hidden="1">0</definedName>
    <definedName name="drsiFlag_Damp_Opt3" hidden="1">0</definedName>
    <definedName name="drsiFlag_Damp_Opt4" hidden="1">0</definedName>
    <definedName name="drsiFlag_Damp_Opt5" hidden="1">0</definedName>
    <definedName name="drsiFlag_Damp_Opt6" hidden="1">0</definedName>
    <definedName name="drsiFlag_Opt1" hidden="1">1</definedName>
    <definedName name="drsiFlag_Opt2" hidden="1">1</definedName>
    <definedName name="drsiFlag_Opt3" hidden="1">1</definedName>
    <definedName name="drsiFlag_Opt4" hidden="1">1</definedName>
    <definedName name="drsiFlag_Opt5" hidden="1">0</definedName>
    <definedName name="drsiFlag_Opt6" hidden="1">1</definedName>
    <definedName name="drsiFlag_Percent1" hidden="1">0</definedName>
    <definedName name="drsiFlag_Percent2" hidden="1">0</definedName>
    <definedName name="drsiFlag_Percent3" hidden="1">0</definedName>
    <definedName name="drsiFlag_Percent4" hidden="1">0</definedName>
    <definedName name="drsiFlag_Percent5" hidden="1">0</definedName>
    <definedName name="drsiFlag_Percent6" hidden="1">0</definedName>
    <definedName name="drsiFlag_Seasonal1" hidden="1">1</definedName>
    <definedName name="drsiFlag_Seasonal2" hidden="1">0</definedName>
    <definedName name="drsiFlag_Seasonal3" hidden="1">1</definedName>
    <definedName name="drsiFlag_Seasonal4" hidden="1">1</definedName>
    <definedName name="drsiFlag_Seasonal5" hidden="1">0</definedName>
    <definedName name="drsiFlag_Seasonal6" hidden="1">1</definedName>
    <definedName name="drsiFlag_Use_Damp1" hidden="1">1</definedName>
    <definedName name="drsiFlag_Use_Damp2" hidden="1">1</definedName>
    <definedName name="drsiFlag_Use_Damp3" hidden="1">1</definedName>
    <definedName name="drsiFlag_Use_Damp4" hidden="1">1</definedName>
    <definedName name="drsiFlag_Use_Damp5" hidden="1">0</definedName>
    <definedName name="drsiFlag_Use_Damp6" hidden="1">1</definedName>
    <definedName name="drsiForecastCell1" hidden="1">"'Weekly Total Prescriptions'!$EJ$35"</definedName>
    <definedName name="drsiForecastCell2" hidden="1">"'Weekly Total Prescriptions'!$EJ$36"</definedName>
    <definedName name="drsiForecastCell3" hidden="1">"'Weekly Total Prescriptions'!$EJ$37"</definedName>
    <definedName name="drsiForecastCell4" hidden="1">"'Weekly Total Prescriptions'!$EJ$38"</definedName>
    <definedName name="drsiForecastCell5" hidden="1">"'FY06 5 YR PXL'!$AD$11"</definedName>
    <definedName name="drsiForecastCell6" hidden="1">"'FY06 5 YR PXL'!$AD$12"</definedName>
    <definedName name="drsiGamma_In1" hidden="1">0.5</definedName>
    <definedName name="drsiGamma_In2" hidden="1">0.5</definedName>
    <definedName name="drsiGamma_In3" hidden="1">0.5</definedName>
    <definedName name="drsiGamma_In4" hidden="1">0.5</definedName>
    <definedName name="drsiGamma_In5" hidden="1">0</definedName>
    <definedName name="drsiGamma_In6" hidden="1">0.5</definedName>
    <definedName name="drsiModel_In1" hidden="1">0</definedName>
    <definedName name="drsiModel_In2" hidden="1">0</definedName>
    <definedName name="drsiModel_In3" hidden="1">0</definedName>
    <definedName name="drsiModel_In4" hidden="1">0</definedName>
    <definedName name="drsiModel_In5" hidden="1">0</definedName>
    <definedName name="drsiModel_In6" hidden="1">0</definedName>
    <definedName name="drsiOnError1" hidden="1">0</definedName>
    <definedName name="drsiOnError2" hidden="1">0</definedName>
    <definedName name="drsiOnError3" hidden="1">0</definedName>
    <definedName name="drsiOnError4" hidden="1">0</definedName>
    <definedName name="drsiOnError5" hidden="1">0</definedName>
    <definedName name="drsiOnError6" hidden="1">0</definedName>
    <definedName name="drsiProdName1" hidden="1">"Totals Row"</definedName>
    <definedName name="drsiProdName2" hidden="1">"CAMPRAL"</definedName>
    <definedName name="drsiProdName3" hidden="1">"DISULFIRAM LINE"</definedName>
    <definedName name="drsiProdName4" hidden="1">"NALTREXONE LINE"</definedName>
    <definedName name="drsiProdName5" hidden="1">0</definedName>
    <definedName name="drsiProdName6" hidden="1">150864</definedName>
    <definedName name="drsiSeasonCycles1" hidden="1">52</definedName>
    <definedName name="drsiSeasonCycles2" hidden="1">52</definedName>
    <definedName name="drsiSeasonCycles3" hidden="1">52</definedName>
    <definedName name="drsiSeasonCycles4" hidden="1">52</definedName>
    <definedName name="drsiSeasonCycles5" hidden="1">0</definedName>
    <definedName name="drsiSeasonCycles6" hidden="1">12</definedName>
    <definedName name="DS" localSheetId="0" hidden="1">{"Linda Robens",#N/A,FALSE,"AM";"Robens Summary",#N/A,FALSE,"AM"}</definedName>
    <definedName name="DS" hidden="1">{"Linda Robens",#N/A,FALSE,"AM";"Robens Summary",#N/A,FALSE,"AM"}</definedName>
    <definedName name="dsd" localSheetId="0" hidden="1">{"orixcsc",#N/A,FALSE,"ORIX CSC";"orixcsc2",#N/A,FALSE,"ORIX CSC"}</definedName>
    <definedName name="dsd" hidden="1">{"orixcsc",#N/A,FALSE,"ORIX CSC";"orixcsc2",#N/A,FALSE,"ORIX CSC"}</definedName>
    <definedName name="dsfkjs" hidden="1">2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HiddenYear6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e" localSheetId="0" hidden="1">{#N/A,#N/A,FALSE,"Performance_Products_Sold"}</definedName>
    <definedName name="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" localSheetId="0" hidden="1">{#N/A,#N/A,FALSE,"A&amp;E";#N/A,#N/A,FALSE,"HighTop";#N/A,#N/A,FALSE,"JG";#N/A,#N/A,FALSE,"RI";#N/A,#N/A,FALSE,"woHT";#N/A,#N/A,FALSE,"woHT&amp;JG"}</definedName>
    <definedName name="ee" hidden="1">{#N/A,#N/A,FALSE,"A&amp;E";#N/A,#N/A,FALSE,"HighTop";#N/A,#N/A,FALSE,"JG";#N/A,#N/A,FALSE,"RI";#N/A,#N/A,FALSE,"woHT";#N/A,#N/A,FALSE,"woHT&amp;JG"}</definedName>
    <definedName name="eeee" hidden="1">#REF!</definedName>
    <definedName name="effodd" hidden="1">{"'Standalone List Price Trends'!$A$1:$X$56"}</definedName>
    <definedName name="Elmiron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EndHistCode" hidden="1">#REF!</definedName>
    <definedName name="EndHistDate" hidden="1">#REF!</definedName>
    <definedName name="EndHistImport" hidden="1">#REF!</definedName>
    <definedName name="EndHistMaster" hidden="1">#REF!</definedName>
    <definedName name="ENG_BI_EXE_NAME" hidden="1">"BICORE.EXE"</definedName>
    <definedName name="ENG_BI_EXEC_CMD_ARGS" hidden="1">"03304607806806909106907504104507303704607512708407308306508709109606708806907006606707607206807409312512707306708509308007306605313413009611212310611910211610507306609207808209007408306207107708708607613413009611212310611910211610507306607607408406908"</definedName>
    <definedName name="ENG_BI_EXEC_CMD_ARGS_2" hidden="1">"10800720650670760720680740911261231041131151101181011211010770750850870740830621190971291280951211211061181061171020730660840700830920960790860730620840710820690820580660550600490600510600550480580640490630680490610590600500520530630620540680600550590"</definedName>
    <definedName name="ENG_BI_EXEC_CMD_ARGS_3" hidden="1">"58050060057049063061053068059053063054056057063049060062059060056060049066060053059059054055050068058052059064050055053059053056049068056056049068051049054059054055057134132095116122099109109099080070078080074080068078062102115125127100112126107108109"</definedName>
    <definedName name="ENG_BI_EXEC_CMD_ARGS_4" hidden="1">"104066068071080069072068075091090080078062054130123099117117107117105103070068068084065071081079080086079085092070083066068069091069075134123083087069070086069072085065091072078083070050126"</definedName>
    <definedName name="ENG_BI_GEN_LIC" hidden="1">"0"</definedName>
    <definedName name="ENG_BI_GEN_LIC_WS" hidden="1">"True"</definedName>
    <definedName name="ENG_BI_LANG_CODE" hidden="1">"en"</definedName>
    <definedName name="ENG_BI_LBI" hidden="1">"IWPJTZOOF5"</definedName>
    <definedName name="ENG_BI_PROFILE_PATH" hidden="1">"C:\ProgramData\Alchemex\AlchemexSmartReporting\MetaData\MAS\Report Designer Add-In S300SQL 1-0\BICORE_profiler_20130121_173608.csv"</definedName>
    <definedName name="ENG_BI_REPOS_FILE" hidden="1">"\\cmserver\Network\Sage\Sage 300 ERP\BXDATA\SQL\alchemex.svd"</definedName>
    <definedName name="ENG_BI_REPOS_PATH" hidden="1">"\\cmserver\Network\Sage\Sage 300 ERP\BXDATA\SQL\"</definedName>
    <definedName name="ENG_BI_TLA" hidden="1">"212;250;83;159;30;9;213;28;37;76;30;243;19;260;123;113;17;94;47;255;122;224;72;141;189;98;114;213;41;73;237;218"</definedName>
    <definedName name="ENG_BI_TLA2" hidden="1">"251;143;33;6;107;116;27;77;136;188;163;74;45;229;172;78;248;189;12;153;251;17;97;205;204;160;34;119;148;135;217;15"</definedName>
    <definedName name="er" localSheetId="0" hidden="1">{#N/A,#N/A,FALSE,"Performance_Products_Sold"}</definedName>
    <definedName name="er" hidden="1">{#N/A,#N/A,FALSE,"Performance_Products_Sold"}</definedName>
    <definedName name="errrr" localSheetId="0" hidden="1">{"CSC_1",#N/A,FALSE,"CSC Outputs";"CSC_2",#N/A,FALSE,"CSC Outputs"}</definedName>
    <definedName name="errrr" hidden="1">{"CSC_1",#N/A,FALSE,"CSC Outputs";"CSC_2",#N/A,FALSE,"CSC Outputs"}</definedName>
    <definedName name="ert" hidden="1">#REF!</definedName>
    <definedName name="essbase12month" hidden="1">{"balsheet",#N/A,FALSE,"A"}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"Marketing Closing Report!$B$17:$C$38;"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localSheetId="0" hidden="1">39850.5900578703</definedName>
    <definedName name="EV__LASTREFTIME__" hidden="1">40310.3834143519</definedName>
    <definedName name="EV__LOCKEDCVW__CAPITAL" hidden="1">"AllClasses,TotalCapex,AllPriorities,NoProject,C1115,TotWithAdj,D1105,NoProdLine,NoRegion,LC,ACTUAL,2006.TOTAL,PERIODIC,"</definedName>
    <definedName name="EV__LOCKEDCVW__FINANCE" hidden="1">"All_Accounts,C1260,TotWithAdj,D6400,All_Interco,NoProdLine,NoProject,NoRegion,USD,BUDGET2008,2008.TOTAL,PERIODIC,"</definedName>
    <definedName name="EV__LOCKEDCVW__Finance_Planning" hidden="1">"2000,FCST_FEB,Total_Co,SCI_MNG,ALL_DS,USD,All_InterCo,YBPH,IRONWOOD,2013.TOTAL,PERIODIC,"</definedName>
    <definedName name="EV__LOCKEDCVW__HCM_Planning" hidden="1">"ACTUAL,Total_Co,61400,ALL_DS,TOT_EMP,TOT_CURR,TAX_RATES,D100101 G,2013.Q3,PERIODIC,"</definedName>
    <definedName name="EV__LOCKEDCVW__HEADCOUNT" hidden="1">"C1101,TotWithAdj,TotDept,All_Employees,AllHRAccounts,AllJobClasses,AllPayTypes,TotalAllProdGroups,AllProjects,TotRegion,USD,BUDGET2008,2008.TOTAL,PERIODIC,"</definedName>
    <definedName name="EV__LOCKEDCVW__RATE" hidden="1">"AllCurrencies,Avg,RateInput,ACTUAL,2006.TOTAL,PERIODIC,"</definedName>
    <definedName name="EV__LOCKEDCVW__RATEDAY" hidden="1">"AllCurrencies,Avg,RateInput,ACTUAL,2006.TOTAL,PERIODIC,"</definedName>
    <definedName name="EV__LOCKEDCVW__REVENUE" hidden="1">"C1101,TotWithAdj,ALL_PRODUCTSKU,USD,TotalRevenue,ACTUAL,2006.TOTAL,ALL_CUSTOMERS,PERIODIC,"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134217743</definedName>
    <definedName name="EV__WBVERSION__" hidden="1">0</definedName>
    <definedName name="EW" localSheetId="0" hidden="1">{#N/A,#N/A,FALSE,"Performance_Products_Sold"}</definedName>
    <definedName name="EW" hidden="1">{#N/A,#N/A,FALSE,"Performance_Products_Sold"}</definedName>
    <definedName name="ewsör" localSheetId="0" hidden="1">{"standalone1",#N/A,FALSE,"DCFBase";"standalone2",#N/A,FALSE,"DCFBase"}</definedName>
    <definedName name="ewsör" hidden="1">{"standalone1",#N/A,FALSE,"DCFBase";"standalone2",#N/A,FALSE,"DCFBase"}</definedName>
    <definedName name="exm" localSheetId="0" hidden="1">{#N/A,#N/A,FALSE,"REPORTS";#N/A,#N/A,FALSE,"Summary";#N/A,#N/A,FALSE,"salessummary";#N/A,#N/A,FALSE,"cvcmsummary";#N/A,#N/A,FALSE,"cvcm%summary"}</definedName>
    <definedName name="exm" hidden="1">{#N/A,#N/A,FALSE,"REPORTS";#N/A,#N/A,FALSE,"Summary";#N/A,#N/A,FALSE,"salessummary";#N/A,#N/A,FALSE,"cvcmsummary";#N/A,#N/A,FALSE,"cvcm%summary"}</definedName>
    <definedName name="F" localSheetId="0" hidden="1">{#N/A,#N/A,FALSE,"Performance_Products_Sold"}</definedName>
    <definedName name="f" hidden="1">{"PR1","pr1",TRUE,"Sch PR-1"}</definedName>
    <definedName name="FADJUSTRS1" hidden="1">"ENCODE_"</definedName>
    <definedName name="fasdfs" hidden="1">{#N/A,#N/A,FALSE,"Aging Summary";#N/A,#N/A,FALSE,"Ratio Analysis";#N/A,#N/A,FALSE,"Test 120 Day Accts";#N/A,#N/A,FALSE,"Tickmarks"}</definedName>
    <definedName name="FCALCSEQUENCE" hidden="1">"ENCODE_KVKmbWiI"</definedName>
    <definedName name="FCHECKOUTBY" hidden="1">-5</definedName>
    <definedName name="FCLASSID" hidden="1">-1</definedName>
    <definedName name="FCLASSVERNUMBER" hidden="1">-1</definedName>
    <definedName name="FCode" hidden="1">#REF!</definedName>
    <definedName name="FCOMPANYID" hidden="1">4</definedName>
    <definedName name="FCURRENCYID" hidden="1">1</definedName>
    <definedName name="FCYCLEID" hidden="1">2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Urv" hidden="1">#REF!</definedName>
    <definedName name="FDP_140_1_aS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0_1_aUrv" hidden="1">#REF!</definedName>
    <definedName name="FDP_151_1_aUrv" hidden="1">#REF!</definedName>
    <definedName name="FDP_152_1_aSrv" hidden="1">#REF!</definedName>
    <definedName name="FDP_152_1_aUrv" hidden="1">#REF!</definedName>
    <definedName name="FDP_153_1_aUrv" hidden="1">#REF!</definedName>
    <definedName name="FDP_154_1_aSrv" hidden="1">#REF!</definedName>
    <definedName name="FDP_154_1_aUrv" hidden="1">#REF!</definedName>
    <definedName name="FDP_155_1_aUrv" hidden="1">#REF!</definedName>
    <definedName name="FDP_156_1_aSrv" hidden="1">#REF!</definedName>
    <definedName name="FDP_156_1_aUrv" hidden="1">#REF!</definedName>
    <definedName name="FDP_157_1_aUrv" hidden="1">#REF!</definedName>
    <definedName name="FDP_158_1_aSrv" hidden="1">#REF!</definedName>
    <definedName name="FDP_158_1_aUrv" hidden="1">#REF!</definedName>
    <definedName name="FDP_159_1_aSrv" hidden="1">#REF!</definedName>
    <definedName name="FDP_159_1_aUrv" hidden="1">#REF!</definedName>
    <definedName name="FDP_16_1_aUrv" hidden="1">#REF!</definedName>
    <definedName name="FDP_160_1_aSrv" hidden="1">#REF!</definedName>
    <definedName name="FDP_160_1_aUrv" hidden="1">#REF!</definedName>
    <definedName name="FDP_161_1_aDrv" hidden="1">#REF!</definedName>
    <definedName name="FDP_161_1_aSrv" hidden="1">#REF!</definedName>
    <definedName name="FDP_161_1_aUrv" hidden="1">#REF!</definedName>
    <definedName name="FDP_162_1_aDrv" hidden="1">#REF!</definedName>
    <definedName name="FDP_162_1_aUrv" hidden="1">#REF!</definedName>
    <definedName name="FDP_163_1_aDrv" hidden="1">#REF!</definedName>
    <definedName name="FDP_163_1_aUrv" hidden="1">#REF!</definedName>
    <definedName name="FDP_164_1_aDrv" hidden="1">#REF!</definedName>
    <definedName name="FDP_164_1_aUrv" hidden="1">#REF!</definedName>
    <definedName name="FDP_165_1_aD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8_1_aUrv" hidden="1">#REF!</definedName>
    <definedName name="FDP_169_1_aDrv" hidden="1">#REF!</definedName>
    <definedName name="FDP_169_1_aSrv" hidden="1">#REF!</definedName>
    <definedName name="FDP_17_1_aUrv" hidden="1">#REF!</definedName>
    <definedName name="FDP_170_1_aD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4_1_aUrv" hidden="1">#REF!</definedName>
    <definedName name="FDP_175_1_aUrv" hidden="1">#REF!</definedName>
    <definedName name="FDP_176_1_aUrv" hidden="1">#REF!</definedName>
    <definedName name="FDP_177_1_aS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dv" hidden="1">#REF!</definedName>
    <definedName name="FDP_180_1_aUrv" hidden="1">#REF!</definedName>
    <definedName name="FDP_181_1_aUdv" hidden="1">#REF!</definedName>
    <definedName name="FDP_181_1_aUrv" hidden="1">#REF!</definedName>
    <definedName name="FDP_182_1_aSrv" hidden="1">#REF!</definedName>
    <definedName name="FDP_182_1_aUdv" hidden="1">#REF!</definedName>
    <definedName name="FDP_183_1_aUd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Udv" hidden="1">#REF!</definedName>
    <definedName name="FDP_196_1_aUrv" hidden="1">#REF!</definedName>
    <definedName name="FDP_196_1aUdv1" hidden="1">#REF!</definedName>
    <definedName name="FDP_197_1_aSrv" hidden="1">#REF!</definedName>
    <definedName name="FDP_197_1_aUd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U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Srv" hidden="1">#REF!</definedName>
    <definedName name="FDP_24_1_aU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S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S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Drv" hidden="1">#REF!</definedName>
    <definedName name="FDP_42_1_aS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D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D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D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D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D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Drv" hidden="1">#REF!</definedName>
    <definedName name="FDP_48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D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Urv" hidden="1">#REF!</definedName>
    <definedName name="FDP_50_1_aD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D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D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D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Srv" hidden="1">#REF!</definedName>
    <definedName name="FDP_64_1_aUrv" hidden="1">#REF!</definedName>
    <definedName name="FDP_65_1_aSrv" hidden="1">#REF!</definedName>
    <definedName name="FDP_65_1_aUrv" hidden="1">#REF!</definedName>
    <definedName name="FDP_66_1_aUrv" hidden="1">#REF!</definedName>
    <definedName name="FDP_67_1_aSrv" hidden="1">#REF!</definedName>
    <definedName name="FDP_67_1_aUrv" hidden="1">#REF!</definedName>
    <definedName name="FDP_68_1_aUrv" hidden="1">#REF!</definedName>
    <definedName name="FDP_69_1_aSrv" hidden="1">#REF!</definedName>
    <definedName name="FDP_69_1_aUrv" hidden="1">#REF!</definedName>
    <definedName name="FDP_7_1_aUrv" hidden="1">#REF!</definedName>
    <definedName name="FDP_70_1_aDrv" hidden="1">#REF!</definedName>
    <definedName name="FDP_70_1_aSrv" hidden="1">#REF!</definedName>
    <definedName name="FDP_70_1_aUrv" hidden="1">#REF!</definedName>
    <definedName name="FDP_71_1_aUrv" hidden="1">#REF!</definedName>
    <definedName name="FDP_72_1_aDrv" hidden="1">#REF!</definedName>
    <definedName name="FDP_72_1_aUrv" hidden="1">#REF!</definedName>
    <definedName name="FDP_73_1_aSrv" hidden="1">#REF!</definedName>
    <definedName name="FDP_73_1_aUrv" hidden="1">#REF!</definedName>
    <definedName name="FDP_74_1_aDdv" hidden="1">#REF!</definedName>
    <definedName name="FDP_74_1_aSrv" hidden="1">#REF!</definedName>
    <definedName name="FDP_74_1_aUrv" hidden="1">#REF!</definedName>
    <definedName name="FDP_75_1_aSrv" hidden="1">#REF!</definedName>
    <definedName name="FDP_75_1_aUrv" hidden="1">#REF!</definedName>
    <definedName name="FDP_76_1_aSrv" hidden="1">#REF!</definedName>
    <definedName name="FDP_76_1_aUrv" hidden="1">#REF!</definedName>
    <definedName name="FDP_77_1_aS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Urv" hidden="1">#REF!</definedName>
    <definedName name="FDP_81_1_aSrv" hidden="1">#REF!</definedName>
    <definedName name="FDP_81_1_aUrv" hidden="1">#REF!</definedName>
    <definedName name="FDP_82_1_aUrv" hidden="1">#REF!</definedName>
    <definedName name="FDP_83_1_aS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7_1_aUrv" hidden="1">#REF!</definedName>
    <definedName name="FDP_87_1_rUrv" hidden="1">#REF!</definedName>
    <definedName name="FDP_88_1_aUrv" hidden="1">#REF!</definedName>
    <definedName name="FDP_89_1_aSrv" hidden="1">#REF!</definedName>
    <definedName name="FDP_89_1_aUrv" hidden="1">#REF!</definedName>
    <definedName name="FDP_9_1_aD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D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a" hidden="1">{"'Standalone List Price Trends'!$A$1:$X$56"}</definedName>
    <definedName name="fdsfds" localSheetId="0" hidden="1">{#N/A,#N/A,FALSE,"UTLTY"}</definedName>
    <definedName name="fdsfds" hidden="1">{#N/A,#N/A,FALSE,"UTLTY"}</definedName>
    <definedName name="fdsfdsfds" localSheetId="0" hidden="1">{#N/A,#N/A,FALSE,"INS-GENL"}</definedName>
    <definedName name="fdsfdsfds" hidden="1">{#N/A,#N/A,FALSE,"INS-GENL"}</definedName>
    <definedName name="fdwfd" localSheetId="0" hidden="1">{"standalone1",#N/A,FALSE,"DCFBase";"standalone2",#N/A,FALSE,"DCFBase"}</definedName>
    <definedName name="fdwfd" hidden="1">{"standalone1",#N/A,FALSE,"DCFBase";"standalone2",#N/A,FALSE,"DCFBase"}</definedName>
    <definedName name="fe" localSheetId="0" hidden="1">{#N/A,#N/A,FALSE,"Performance_Products_Sold"}</definedName>
    <definedName name="fe" hidden="1">{#N/A,#N/A,FALSE,"Performance_Products_Sold"}</definedName>
    <definedName name="ffff" localSheetId="0" hidden="1">{#N/A,#N/A,FALSE,"REPORTS";#N/A,#N/A,FALSE,"Summary";#N/A,#N/A,FALSE,"salessummary";#N/A,#N/A,FALSE,"cvcmsummary";#N/A,#N/A,FALSE,"cvcm%summary"}</definedName>
    <definedName name="ffff" hidden="1">{#N/A,#N/A,FALSE,"REPORTS";#N/A,#N/A,FALSE,"Summary";#N/A,#N/A,FALSE,"salessummary";#N/A,#N/A,FALSE,"cvcmsummary";#N/A,#N/A,FALSE,"cvcm%summary"}</definedName>
    <definedName name="fffffff" localSheetId="0" hidden="1">{#N/A,#N/A,FALSE,"Contribution Analysis"}</definedName>
    <definedName name="fffffff" hidden="1">{#N/A,#N/A,FALSE,"Contribution Analysis"}</definedName>
    <definedName name="fffffffffff" hidden="1">{"'Standalone List Price Trends'!$A$1:$X$56"}</definedName>
    <definedName name="fffffffffffff" hidden="1">#REF!</definedName>
    <definedName name="FG" hidden="1">{#N/A,#N/A,FALSE,"New Depr Sch-150% DB";#N/A,#N/A,FALSE,"Cash Flows RLP";#N/A,#N/A,FALSE,"IRR";#N/A,#N/A,FALSE,"Proforma IS";#N/A,#N/A,FALSE,"Assumptions"}</definedName>
    <definedName name="fghj" hidden="1">#REF!</definedName>
    <definedName name="FGROUPID" hidden="1">"ENCODE_ewAyADAAMgA3AEMAMQBEADMALQBFADYARABGAC0ANAA5ADcAMgAtAEEAQwA2AEMALQA0ADcAOAAyADUARQA0ADMANgA3ADcAQgB9AA=="</definedName>
    <definedName name="fgsf" localSheetId="0" hidden="1">{"IS",#N/A,FALSE,"Financials2 (Expanded)";"bsa",#N/A,FALSE,"Financials2 (Expanded)";"BS",#N/A,FALSE,"Financials2 (Expanded)";"CF",#N/A,FALSE,"Financials2 (Expanded)"}</definedName>
    <definedName name="fgsf" hidden="1">{"IS",#N/A,FALSE,"Financials2 (Expanded)";"bsa",#N/A,FALSE,"Financials2 (Expanded)";"BS",#N/A,FALSE,"Financials2 (Expanded)";"CF",#N/A,FALSE,"Financials2 (Expanded)"}</definedName>
    <definedName name="fi" localSheetId="0" hidden="1">{#N/A,#N/A,FALSE,"Performance_Products_Sold"}</definedName>
    <definedName name="fi" hidden="1">{#N/A,#N/A,FALSE,"Performance_Products_Sold"}</definedName>
    <definedName name="FISACCEPTED" hidden="1">0</definedName>
    <definedName name="FISAUDIT" hidden="1">1</definedName>
    <definedName name="FISCHANGED" hidden="1">0</definedName>
    <definedName name="FISCHECKED" hidden="1">0</definedName>
    <definedName name="FISHOLDEN" hidden="1">0</definedName>
    <definedName name="FISSUBMITED" hidden="1">0</definedName>
    <definedName name="fjafjdsk" localSheetId="0" hidden="1">{#N/A,#N/A,FALSE,"Performance_Products_Sold"}</definedName>
    <definedName name="fjafjdsk" hidden="1">{#N/A,#N/A,FALSE,"Performance_Products_Sold"}</definedName>
    <definedName name="fjidjfldkj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fjidjfldkj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fke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fke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fko" localSheetId="0" hidden="1">{"vi1",#N/A,FALSE,"Financial Statements";"vi2",#N/A,FALSE,"Financial Statements";#N/A,#N/A,FALSE,"DCF"}</definedName>
    <definedName name="fko" hidden="1">{"vi1",#N/A,FALSE,"Financial Statements";"vi2",#N/A,FALSE,"Financial Statements";#N/A,#N/A,FALSE,"DCF"}</definedName>
    <definedName name="Forecast1_Look" hidden="1">#REF!</definedName>
    <definedName name="Forecast2_Look" hidden="1">#REF!</definedName>
    <definedName name="Forecast3_Look" hidden="1">#REF!</definedName>
    <definedName name="Forecast4_Look" hidden="1">#REF!</definedName>
    <definedName name="Forecast5_Look" hidden="1">#REF!</definedName>
    <definedName name="Forecast6_Look" hidden="1">#REF!</definedName>
    <definedName name="Forecast7_Look" hidden="1">#REF!</definedName>
    <definedName name="Forecast8_Look" hidden="1">#REF!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ERIOD" hidden="1">1</definedName>
    <definedName name="fq" localSheetId="0" hidden="1">{"Linda Robens",#N/A,FALSE,"AM";"Robens Summary",#N/A,FALSE,"AM"}</definedName>
    <definedName name="fq" hidden="1">{"Linda Robens",#N/A,FALSE,"AM";"Robens Summary",#N/A,FALSE,"AM"}</definedName>
    <definedName name="FR" localSheetId="0" hidden="1">{#N/A,#N/A,FALSE,"Performance_Products_Sold"}</definedName>
    <definedName name="FR" hidden="1">{#N/A,#N/A,FALSE,"Performance_Products_Sold"}</definedName>
    <definedName name="FRPTFRAMEWORKID" hidden="1">2</definedName>
    <definedName name="fsd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fsd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FSEQUENCE" hidden="1">-1</definedName>
    <definedName name="ft" localSheetId="0" hidden="1">{#N/A,#N/A,FALSE,"Performance_Products_Sold"}</definedName>
    <definedName name="ft" hidden="1">{#N/A,#N/A,FALSE,"Performance_Products_Sold"}</definedName>
    <definedName name="fu" localSheetId="0" hidden="1">{#N/A,#N/A,FALSE,"Performance_Products_Sold"}</definedName>
    <definedName name="fu" hidden="1">{#N/A,#N/A,FALSE,"Performance_Products_Sold"}</definedName>
    <definedName name="fubar" localSheetId="0" hidden="1">{#N/A,#N/A,TRUE,"MAIN FT TERM";#N/A,#N/A,TRUE,"MCI  FT TERM ";#N/A,#N/A,TRUE,"OC12 EQV"}</definedName>
    <definedName name="fubar" hidden="1">{#N/A,#N/A,TRUE,"MAIN FT TERM";#N/A,#N/A,TRUE,"MCI  FT TERM ";#N/A,#N/A,TRUE,"OC12 EQV"}</definedName>
    <definedName name="fv" localSheetId="0" hidden="1">{#N/A,#N/A,FALSE,"Performance_Products_Sold"}</definedName>
    <definedName name="fv" hidden="1">{#N/A,#N/A,FALSE,"Performance_Products_Sold"}</definedName>
    <definedName name="fw" localSheetId="0" hidden="1">{"Linda Robens",#N/A,FALSE,"AM";"Robens Summary",#N/A,FALSE,"AM"}</definedName>
    <definedName name="fw" hidden="1">{"Linda Robens",#N/A,FALSE,"AM";"Robens Summary",#N/A,FALSE,"AM"}</definedName>
    <definedName name="fy" localSheetId="0" hidden="1">{#N/A,#N/A,FALSE,"Performance_Products_Sold"}</definedName>
    <definedName name="fy" hidden="1">{#N/A,#N/A,FALSE,"Performance_Products_Sold"}</definedName>
    <definedName name="FYEAR" hidden="1">2007</definedName>
    <definedName name="g" hidden="1">#REF!</definedName>
    <definedName name="ga" localSheetId="0" hidden="1">{#N/A,#N/A,FALSE,"Performance_Products_Sold"}</definedName>
    <definedName name="ga" hidden="1">{#N/A,#N/A,FALSE,"Performance_Products_Sold"}</definedName>
    <definedName name="gb" localSheetId="0" hidden="1">{#N/A,#N/A,FALSE,"Performance_Products_Sold"}</definedName>
    <definedName name="gb" hidden="1">{#N/A,#N/A,FALSE,"Performance_Products_Sold"}</definedName>
    <definedName name="gc" localSheetId="0" hidden="1">{#N/A,#N/A,FALSE,"Performance_Products_Sold"}</definedName>
    <definedName name="gc" hidden="1">{#N/A,#N/A,FALSE,"Performance_Products_Sold"}</definedName>
    <definedName name="gd" localSheetId="0" hidden="1">{#N/A,#N/A,FALSE,"CreditStat";#N/A,#N/A,FALSE,"SPbrkup";#N/A,#N/A,FALSE,"MerSPsyn";#N/A,#N/A,FALSE,"MerSPwKCsyn";#N/A,#N/A,FALSE,"MerSPwKCsyn (2)";#N/A,#N/A,FALSE,"CreditStat (2)"}</definedName>
    <definedName name="gd" hidden="1">{#N/A,#N/A,FALSE,"CreditStat";#N/A,#N/A,FALSE,"SPbrkup";#N/A,#N/A,FALSE,"MerSPsyn";#N/A,#N/A,FALSE,"MerSPwKCsyn";#N/A,#N/A,FALSE,"MerSPwKCsyn (2)";#N/A,#N/A,FALSE,"CreditStat (2)"}</definedName>
    <definedName name="genco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George" hidden="1">#REF!</definedName>
    <definedName name="GFF" localSheetId="0" hidden="1">{"Linda Robens",#N/A,FALSE,"AM";"Robens Summary",#N/A,FALSE,"AM"}</definedName>
    <definedName name="GFF" hidden="1">{"Linda Robens",#N/A,FALSE,"AM";"Robens Summary",#N/A,FALSE,"AM"}</definedName>
    <definedName name="gg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gg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ggg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GGG" hidden="1">{"quartfin",#N/A,FALSE,"quartfin"}</definedName>
    <definedName name="gggggggggg" localSheetId="0" hidden="1">{#N/A,#N/A,FALSE,"ORIX CSC"}</definedName>
    <definedName name="gggggggggg" hidden="1">{#N/A,#N/A,FALSE,"ORIX CSC"}</definedName>
    <definedName name="gggggggggggg" hidden="1">#REF!</definedName>
    <definedName name="ggggggggggggggggggg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gggggggggggggggggg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" localSheetId="0" hidden="1">{#N/A,#N/A,FALSE,"CreditStat";#N/A,#N/A,FALSE,"SPbrkup";#N/A,#N/A,FALSE,"MerSPsyn";#N/A,#N/A,FALSE,"MerSPwKCsyn";#N/A,#N/A,FALSE,"MerSPwKCsyn (2)";#N/A,#N/A,FALSE,"CreditStat (2)"}</definedName>
    <definedName name="gh" hidden="1">{#N/A,#N/A,FALSE,"CreditStat";#N/A,#N/A,FALSE,"SPbrkup";#N/A,#N/A,FALSE,"MerSPsyn";#N/A,#N/A,FALSE,"MerSPwKCsyn";#N/A,#N/A,FALSE,"MerSPwKCsyn (2)";#N/A,#N/A,FALSE,"CreditStat (2)"}</definedName>
    <definedName name="ghj" localSheetId="0" hidden="1">{"Linda Robens",#N/A,FALSE,"AM";"Robens Summary",#N/A,FALSE,"AM"}</definedName>
    <definedName name="ghj" hidden="1">{"Linda Robens",#N/A,FALSE,"AM";"Robens Summary",#N/A,FALSE,"AM"}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OTAL" hidden="1">#REF!</definedName>
    <definedName name="gls_PERIOD_TYPE" hidden="1">#REF!</definedName>
    <definedName name="gls_PrincipalStockClass" hidden="1">#REF!</definedName>
    <definedName name="gls_Recommendation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REQ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" localSheetId="0" hidden="1">{#N/A,#N/A,FALSE,"Performance_Products_Sold"}</definedName>
    <definedName name="gm" hidden="1">{#N/A,#N/A,FALSE,"Performance_Products_Sold"}</definedName>
    <definedName name="gn" localSheetId="0" hidden="1">{#N/A,#N/A,FALSE,"Performance_Products_Sold"}</definedName>
    <definedName name="gn" hidden="1">{#N/A,#N/A,FALSE,"Performance_Products_Sold"}</definedName>
    <definedName name="grph" hidden="1">#REF!</definedName>
    <definedName name="GT" localSheetId="0" hidden="1">{#N/A,#N/A,FALSE,"Performance_Products_Sold"}</definedName>
    <definedName name="GT" hidden="1">{#N/A,#N/A,FALSE,"Performance_Products_Sold"}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x" localSheetId="0" hidden="1">{#N/A,#N/A,FALSE,"Performance_Products_Sold"}</definedName>
    <definedName name="gx" hidden="1">{#N/A,#N/A,FALSE,"Performance_Products_Sold"}</definedName>
    <definedName name="GY" localSheetId="0" hidden="1">{#N/A,#N/A,FALSE,"Performance_Products_Sold"}</definedName>
    <definedName name="GY" hidden="1">{#N/A,#N/A,FALSE,"Performance_Products_Sold"}</definedName>
    <definedName name="gz" localSheetId="0" hidden="1">{#N/A,#N/A,FALSE,"Performance_Products_Sold"}</definedName>
    <definedName name="gz" hidden="1">{#N/A,#N/A,FALSE,"Performance_Products_Sold"}</definedName>
    <definedName name="h" localSheetId="0" hidden="1">#REF!</definedName>
    <definedName name="h" hidden="1">{"'Standalone List Price Trends'!$A$1:$X$56"}</definedName>
    <definedName name="hc" localSheetId="0" hidden="1">{#N/A,#N/A,FALSE,"Performance_Products_Sold"}</definedName>
    <definedName name="hc" hidden="1">{#N/A,#N/A,FALSE,"Performance_Products_Sold"}</definedName>
    <definedName name="hell" localSheetId="0" hidden="1">{#N/A,#N/A,FALSE,"Performance_Products_Sold"}</definedName>
    <definedName name="hell" hidden="1">{#N/A,#N/A,FALSE,"Performance_Products_Sold"}</definedName>
    <definedName name="hello" localSheetId="0" hidden="1">{#N/A,#N/A,FALSE,"1996 labor";#N/A,#N/A,FALSE,"1996 CASH FLOWS"}</definedName>
    <definedName name="hello" hidden="1">{#N/A,#N/A,FALSE,"1996 labor";#N/A,#N/A,FALSE,"1996 CASH FLOWS"}</definedName>
    <definedName name="help" localSheetId="0" hidden="1">{#N/A,#N/A,FALSE,"Performance_Products_Sold"}</definedName>
    <definedName name="help" hidden="1">{#N/A,#N/A,FALSE,"Performance_Products_Sold"}</definedName>
    <definedName name="help1" localSheetId="0" hidden="1">{#N/A,#N/A,FALSE,"Performance_Products_Sold"}</definedName>
    <definedName name="help1" hidden="1">{#N/A,#N/A,FALSE,"Performance_Products_Sold"}</definedName>
    <definedName name="HHIhs" hidden="1">{"short1",#N/A,FALSE,"masmode";"short2",#N/A,FALSE,"masmode";"qtrres",#N/A,FALSE,"QTR. RES.";"sales",#N/A,FALSE,"Sales &amp; Market Share"}</definedName>
    <definedName name="HiddenRows" hidden="1">#REF!</definedName>
    <definedName name="History1_Look" hidden="1">#REF!</definedName>
    <definedName name="History2_Look" hidden="1">#REF!</definedName>
    <definedName name="History3_Look" hidden="1">#REF!</definedName>
    <definedName name="History4_Look" hidden="1">#REF!</definedName>
    <definedName name="History5_Look" hidden="1">#REF!</definedName>
    <definedName name="History6_Look" hidden="1">#REF!</definedName>
    <definedName name="History7_Look" hidden="1">#REF!</definedName>
    <definedName name="History8_Look" hidden="1">#REF!</definedName>
    <definedName name="HistoryIDs" hidden="1">#REF!</definedName>
    <definedName name="HistoryMonth_Look" hidden="1">OFFSET(#REF!,0,0,#REF!,1)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p" localSheetId="0" hidden="1">{#N/A,#N/A,FALSE,"Performance_Products_Sold"}</definedName>
    <definedName name="hp" hidden="1">{#N/A,#N/A,FALSE,"Performance_Products_Sold"}</definedName>
    <definedName name="hshs" localSheetId="0" hidden="1">{#N/A,#N/A,FALSE,"A&amp;E";#N/A,#N/A,FALSE,"HighTop";#N/A,#N/A,FALSE,"JG";#N/A,#N/A,FALSE,"RI";#N/A,#N/A,FALSE,"woHT";#N/A,#N/A,FALSE,"woHT&amp;JG"}</definedName>
    <definedName name="hshs" hidden="1">{#N/A,#N/A,FALSE,"A&amp;E";#N/A,#N/A,FALSE,"HighTop";#N/A,#N/A,FALSE,"JG";#N/A,#N/A,FALSE,"RI";#N/A,#N/A,FALSE,"woHT";#N/A,#N/A,FALSE,"woHT&amp;JG"}</definedName>
    <definedName name="HTML_CodePage" hidden="1">1252</definedName>
    <definedName name="HTML_Control" localSheetId="0" hidden="1">{"'Sheet1'!$A$1:$M$69"}</definedName>
    <definedName name="HTML_Control" hidden="1">{"'Fr-Pay TV Mkt'!$A$26:$S$34"}</definedName>
    <definedName name="HTML_Description" localSheetId="0" hidden="1">"Claudia Louvenia Hoover was the wife of Robert Winslow McDowell.  Although there is little information on him, there is alot of records on her side of the family."</definedName>
    <definedName name="HTML_Description" hidden="1">""</definedName>
    <definedName name="HTML_Email" hidden="1">""</definedName>
    <definedName name="HTML_Header" localSheetId="0" hidden="1">"Sheet1"</definedName>
    <definedName name="HTML_Header" hidden="1">"Pay- TV Market"</definedName>
    <definedName name="HTML_LastUpdate" localSheetId="0" hidden="1">"12/31/98"</definedName>
    <definedName name="HTML_LastUpdate" hidden="1">"07/01/99"</definedName>
    <definedName name="HTML_LineAfter" hidden="1">TRUE</definedName>
    <definedName name="HTML_LineBefore" hidden="1">TRUE</definedName>
    <definedName name="HTML_Name" localSheetId="0" hidden="1">""</definedName>
    <definedName name="HTML_Name" hidden="1">"hilton_m"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Documents\CLHoover.htm"</definedName>
    <definedName name="HTML_PathFile" hidden="1">"c:\mike.html"</definedName>
    <definedName name="HTML_PathFileMac" hidden="1">"Macintosh HD:Web Site “~adamodar”:pc:datasets:MyHTML.html"</definedName>
    <definedName name="HTML_Title" localSheetId="0" hidden="1">"Claudia Louvenia Hoover's Ancestry"</definedName>
    <definedName name="HTML_Title" hidden="1">"Canal +"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U" localSheetId="0" hidden="1">{#N/A,#N/A,FALSE,"Performance_Products_Sold"}</definedName>
    <definedName name="HU" hidden="1">{#N/A,#N/A,FALSE,"Performance_Products_Sold"}</definedName>
    <definedName name="HUh" hidden="1">{"'Standalone List Price Trends'!$A$1:$X$56"}</definedName>
    <definedName name="huji" localSheetId="0" hidden="1">{"comps",#N/A,FALSE,"TXTCOMPS"}</definedName>
    <definedName name="huji" hidden="1">{"comps",#N/A,FALSE,"TXTCOMPS"}</definedName>
    <definedName name="HY" localSheetId="0" hidden="1">{#N/A,#N/A,FALSE,"Performance_Products_Sold"}</definedName>
    <definedName name="HY" hidden="1">{#N/A,#N/A,FALSE,"Performance_Products_Sold"}</definedName>
    <definedName name="ii" hidden="1">#REF!</definedName>
    <definedName name="Img_ML_3c7g1a7g" hidden="1">"IMG_12"</definedName>
    <definedName name="Img_ML_4d2b6f6f" hidden="1">"IMG_12"</definedName>
    <definedName name="Img_ML_8h7g3c9i" hidden="1">"IMG_12"</definedName>
    <definedName name="Img_ML_8r1k8t4y" hidden="1">"IMG_12"</definedName>
    <definedName name="ImportMonth_Look" hidden="1">OFFSET(#REF!,0,0,#REF!,1)</definedName>
    <definedName name="Infgod" hidden="1">{"monthlyunits",#N/A,FALSE,"openings"}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"C:\Sage\Sage300\BX66A\BICORE.EXE"</definedName>
    <definedName name="INFO_INSTANCE_ID" hidden="1">"0"</definedName>
    <definedName name="INFO_INSTANCE_NAME" hidden="1">"Craftmaster Financial Reports Package 2019NEW_20210119_09_08_04_088.xls"</definedName>
    <definedName name="INFO_REPORT_CODE" hidden="1">"S300-SQL-AI01-1-0"</definedName>
    <definedName name="INFO_REPORT_ID" hidden="1">"12"</definedName>
    <definedName name="INFO_REPORT_NAME" hidden="1">"Craftmaster Financial Reports Package 2019NEW"</definedName>
    <definedName name="INFO_RUN_USER" hidden="1">""</definedName>
    <definedName name="INFO_RUN_WORKSTATION" hidden="1">"CMREMOTE1"</definedName>
    <definedName name="Infosed" hidden="1">{"quartfin",#N/A,FALSE,"quartfin"}</definedName>
    <definedName name="IntroPrintArea" hidden="1">#REF!</definedName>
    <definedName name="io" localSheetId="0" hidden="1">{#N/A,#N/A,FALSE,"Performance_Products_Sold"}</definedName>
    <definedName name="io" hidden="1">{#N/A,#N/A,FALSE,"Performance_Products_Sold"}</definedName>
    <definedName name="ip" hidden="1">{"'Standalone List Price Trends'!$A$1:$X$56"}</definedName>
    <definedName name="ipcc" hidden="1">{"'Standalone List Price Trends'!$A$1:$X$56"}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localSheetId="0" hidden="1">"c1449"</definedName>
    <definedName name="IQ_ACCOUNT_CHANGE" hidden="1">"c36"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S_PAY" localSheetId="0" hidden="1">"c1343"</definedName>
    <definedName name="IQ_ACCOUNTS_PAY" hidden="1">"c91"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0" hidden="1">"c1341"</definedName>
    <definedName name="IQ_ACCRUED_EXP" hidden="1">"c93"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localSheetId="0" hidden="1">"c1340"</definedName>
    <definedName name="IQ_ACCUM_DEP" hidden="1">"c282"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localSheetId="0" hidden="1">"c1344"</definedName>
    <definedName name="IQ_ADD_PAID_IN" hidden="1">"c109"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localSheetId="0" hidden="1">"c1342"</definedName>
    <definedName name="IQ_ALLOW_CONST" hidden="1">"c292"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localSheetId="0" hidden="1">"c1591"</definedName>
    <definedName name="IQ_AMORTIZATION" hidden="1">"c121"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localSheetId="0" hidden="1">"c47"</definedName>
    <definedName name="IQ_ASSET_TURNS" hidden="1">"c148"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localSheetId="0" hidden="1">"c63"</definedName>
    <definedName name="IQ_AVG_BROKER_REC" hidden="1">"c278"</definedName>
    <definedName name="IQ_AVG_BROKER_REC_CIQ" hidden="1">"c3612"</definedName>
    <definedName name="IQ_AVG_BROKER_REC_NO" localSheetId="0" hidden="1">"c64"</definedName>
    <definedName name="IQ_AVG_BROKER_REC_NO" hidden="1">"c279"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localSheetId="0" hidden="1">"c81"</definedName>
    <definedName name="IQ_AVG_PRICE" hidden="1">"c253"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localSheetId="0" hidden="1">"c1346"</definedName>
    <definedName name="IQ_AVG_VOLUME" hidden="1">"c254"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localSheetId="0" hidden="1">"c85"</definedName>
    <definedName name="IQ_BASIC_EPS_EXCL" hidden="1">"c45"</definedName>
    <definedName name="IQ_BASIC_EPS_INCL" localSheetId="0" hidden="1">"c86"</definedName>
    <definedName name="IQ_BASIC_EPS_INCL" hidden="1">"c46"</definedName>
    <definedName name="IQ_BASIC_NORMAL_EPS" localSheetId="0" hidden="1">"c1592"</definedName>
    <definedName name="IQ_BASIC_NORMAL_EPS" hidden="1">"c65"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localSheetId="0" hidden="1">"c87"</definedName>
    <definedName name="IQ_BASIC_WEIGHT" hidden="1">"c44"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localSheetId="0" hidden="1">"c2133"</definedName>
    <definedName name="IQ_BETA" hidden="1">"c226"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localSheetId="0" hidden="1">"c96"</definedName>
    <definedName name="IQ_BOARD_MEMBER" hidden="1">"c233"</definedName>
    <definedName name="IQ_BOARD_MEMBER_BACKGROUND" hidden="1">"c2101"</definedName>
    <definedName name="IQ_BOARD_MEMBER_TITLE" localSheetId="0" hidden="1">"c97"</definedName>
    <definedName name="IQ_BOARD_MEMBER_TITLE" hidden="1">"c234"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CIQ" hidden="1">"c4737"</definedName>
    <definedName name="IQ_BV_EST_REUT" hidden="1">"c5403"</definedName>
    <definedName name="IQ_BV_HIGH_EST" hidden="1">"c5626"</definedName>
    <definedName name="IQ_BV_HIGH_EST_CIQ" hidden="1">"c4739"</definedName>
    <definedName name="IQ_BV_HIGH_EST_REUT" hidden="1">"c5405"</definedName>
    <definedName name="IQ_BV_LOW_EST" hidden="1">"c5627"</definedName>
    <definedName name="IQ_BV_LOW_EST_CIQ" hidden="1">"c4740"</definedName>
    <definedName name="IQ_BV_LOW_EST_REUT" hidden="1">"c5406"</definedName>
    <definedName name="IQ_BV_MEDIAN_EST" hidden="1">"c5625"</definedName>
    <definedName name="IQ_BV_MEDIAN_EST_CIQ" hidden="1">"c4738"</definedName>
    <definedName name="IQ_BV_MEDIAN_EST_REUT" hidden="1">"c5404"</definedName>
    <definedName name="IQ_BV_NUM_EST" hidden="1">"c5628"</definedName>
    <definedName name="IQ_BV_NUM_EST_CIQ" hidden="1">"c4741"</definedName>
    <definedName name="IQ_BV_NUM_EST_REUT" hidden="1">"c5407"</definedName>
    <definedName name="IQ_BV_OVER_SHARES" localSheetId="0" hidden="1">"c1349"</definedName>
    <definedName name="IQ_BV_OVER_SHARES" hidden="1">"c177"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EST" hidden="1">"c3541"</definedName>
    <definedName name="IQ_BV_SHARE_EST_CIQ" hidden="1">"c3800"</definedName>
    <definedName name="IQ_BV_SHARE_HIGH_EST" hidden="1">"c3542"</definedName>
    <definedName name="IQ_BV_SHARE_HIGH_EST_CIQ" hidden="1">"c3802"</definedName>
    <definedName name="IQ_BV_SHARE_LOW_EST" hidden="1">"c3543"</definedName>
    <definedName name="IQ_BV_SHARE_LOW_EST_CIQ" hidden="1">"c3803"</definedName>
    <definedName name="IQ_BV_SHARE_MEDIAN_EST" hidden="1">"c3544"</definedName>
    <definedName name="IQ_BV_SHARE_MEDIAN_EST_CIQ" hidden="1">"c3801"</definedName>
    <definedName name="IQ_BV_SHARE_NUM_EST" hidden="1">"c3539"</definedName>
    <definedName name="IQ_BV_SHARE_NUM_EST_CIQ" hidden="1">"c3804"</definedName>
    <definedName name="IQ_BV_SHARE_STDDEV_EST" hidden="1">"c3540"</definedName>
    <definedName name="IQ_BV_SHARE_STDDEV_EST_CIQ" hidden="1">"c3805"</definedName>
    <definedName name="IQ_BV_STDDEV_EST" hidden="1">"c5629"</definedName>
    <definedName name="IQ_BV_STDDEV_EST_CIQ" hidden="1">"c4742"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localSheetId="0" hidden="1">"c101"</definedName>
    <definedName name="IQ_CAL_Q" hidden="1">"c246"</definedName>
    <definedName name="IQ_CAL_Q_EST" hidden="1">"c6796"</definedName>
    <definedName name="IQ_CAL_Q_EST_CIQ" hidden="1">"c6808"</definedName>
    <definedName name="IQ_CAL_Y" localSheetId="0" hidden="1">"c102"</definedName>
    <definedName name="IQ_CAL_Y" hidden="1">"c248"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localSheetId="0" hidden="1">"c103"</definedName>
    <definedName name="IQ_CAPEX" hidden="1">"c126"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NUM_EST" hidden="1">"c3521"</definedName>
    <definedName name="IQ_CAPEX_NUM_EST_CIQ" hidden="1">"c3811"</definedName>
    <definedName name="IQ_CAPEX_STDDEV_EST" hidden="1">"c3522"</definedName>
    <definedName name="IQ_CAPEX_STDDEV_EST_CIQ" hidden="1">"c3812"</definedName>
    <definedName name="IQ_CAPEX_UTI" hidden="1">"c114"</definedName>
    <definedName name="IQ_CAPITAL_LEASE" localSheetId="0" hidden="1">"c1350"</definedName>
    <definedName name="IQ_CAPITAL_LEASE" hidden="1">"c99"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localSheetId="0" hidden="1">"c2076"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localSheetId="0" hidden="1">"c1458"</definedName>
    <definedName name="IQ_CASH" hidden="1">"c69"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localSheetId="0" hidden="1">"c1351"</definedName>
    <definedName name="IQ_CASH_DUE_BANKS" hidden="1">"c71"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localSheetId="0" hidden="1">"c118"</definedName>
    <definedName name="IQ_CASH_EQUIV" hidden="1">"c70"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 localSheetId="0" hidden="1">"c120"</definedName>
    <definedName name="IQ_CASH_INTEREST" hidden="1">"c137"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localSheetId="0" hidden="1">"c1355"</definedName>
    <definedName name="IQ_CASH_ST" hidden="1">"c73"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 localSheetId="0" hidden="1">"c125"</definedName>
    <definedName name="IQ_CASH_TAXES" hidden="1">"c138"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CIQ" hidden="1">"c5061"</definedName>
    <definedName name="IQ_CFPS_EST" hidden="1">"c1667"</definedName>
    <definedName name="IQ_CFPS_EST_CIQ" hidden="1">"c3675"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NUM_EST" hidden="1">"c1671"</definedName>
    <definedName name="IQ_CFPS_NUM_EST_CIQ" hidden="1">"c3679"</definedName>
    <definedName name="IQ_CFPS_STDDEV_EST" hidden="1">"c1672"</definedName>
    <definedName name="IQ_CFPS_STDDEV_EST_CIQ" hidden="1">"c3680"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0" hidden="1">"c1357"</definedName>
    <definedName name="IQ_CHANGES_WORK_CAP" hidden="1">"c124"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localSheetId="0" hidden="1">"c166"</definedName>
    <definedName name="IQ_CITY" hidden="1">"c216"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localSheetId="0" hidden="1">"c174"</definedName>
    <definedName name="IQ_CLOSEPRICE" hidden="1">"c206"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localSheetId="0" hidden="1">"c1358"</definedName>
    <definedName name="IQ_COMMON_STOCK" hidden="1">"c108"</definedName>
    <definedName name="IQ_COMMON_STOCK_FFIEC" hidden="1">"c12876"</definedName>
    <definedName name="IQ_COMP_BENEFITS" hidden="1">"c213"</definedName>
    <definedName name="IQ_COMPANY_ADDRESS" localSheetId="0" hidden="1">"c214"</definedName>
    <definedName name="IQ_COMPANY_ADDRESS" hidden="1">"c213"</definedName>
    <definedName name="IQ_COMPANY_ID" hidden="1">"c3513"</definedName>
    <definedName name="IQ_COMPANY_NAME" localSheetId="0" hidden="1">"c215"</definedName>
    <definedName name="IQ_COMPANY_NAME" hidden="1">"c208"</definedName>
    <definedName name="IQ_COMPANY_NAME_LONG" hidden="1">"c1585"</definedName>
    <definedName name="IQ_COMPANY_NOTE" hidden="1">"c6792"</definedName>
    <definedName name="IQ_COMPANY_PHONE" localSheetId="0" hidden="1">"c216"</definedName>
    <definedName name="IQ_COMPANY_PHONE" hidden="1">"c219"</definedName>
    <definedName name="IQ_COMPANY_STATUS" hidden="1">"c2097"</definedName>
    <definedName name="IQ_COMPANY_STREET1" localSheetId="0" hidden="1">"c217"</definedName>
    <definedName name="IQ_COMPANY_STREET1" hidden="1">"c214"</definedName>
    <definedName name="IQ_COMPANY_STREET2" localSheetId="0" hidden="1">"c218"</definedName>
    <definedName name="IQ_COMPANY_STREET2" hidden="1">"c215"</definedName>
    <definedName name="IQ_COMPANY_TICKER" localSheetId="0" hidden="1">"c219"</definedName>
    <definedName name="IQ_COMPANY_TICKER" hidden="1">"c209"</definedName>
    <definedName name="IQ_COMPANY_TYPE" hidden="1">"c2096"</definedName>
    <definedName name="IQ_COMPANY_WEBSITE" localSheetId="0" hidden="1">"c220"</definedName>
    <definedName name="IQ_COMPANY_WEBSITE" hidden="1">"c212"</definedName>
    <definedName name="IQ_COMPANY_ZIP" localSheetId="0" hidden="1">"c221"</definedName>
    <definedName name="IQ_COMPANY_ZIP" hidden="1">"c218"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localSheetId="0" hidden="1">"c1359"</definedName>
    <definedName name="IQ_COST_REVENUE" hidden="1">"c6"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localSheetId="0" hidden="1">"c230"</definedName>
    <definedName name="IQ_COUNTRY_NAME" hidden="1">"c220"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localSheetId="0" hidden="1">"c241"</definedName>
    <definedName name="IQ_CURRENT_PORT" hidden="1">"c95"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localSheetId="0" hidden="1">"c246"</definedName>
    <definedName name="IQ_CURRENT_RATIO" hidden="1">"c164"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localSheetId="0" hidden="1">"c1362"</definedName>
    <definedName name="IQ_DAYS_PAY_OUTST" hidden="1">"c154"</definedName>
    <definedName name="IQ_DAYS_PAYABLE_OUT" hidden="1">"c274"</definedName>
    <definedName name="IQ_DAYS_SALES_OUT" hidden="1">"c275"</definedName>
    <definedName name="IQ_DAYS_SALES_OUTST" localSheetId="0" hidden="1">"c1363"</definedName>
    <definedName name="IQ_DAYS_SALES_OUTST" hidden="1">"c153"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localSheetId="0" hidden="1">"c1364"</definedName>
    <definedName name="IQ_DEF_ACQ_CST" hidden="1">"c290"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0" hidden="1">"c1447"</definedName>
    <definedName name="IQ_DEFERRED_INC_TAX" hidden="1">"c102"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localSheetId="0" hidden="1">"c1356"</definedName>
    <definedName name="IQ_DEFERRED_TAXES" hidden="1">"c122"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0" hidden="1">"c1360"</definedName>
    <definedName name="IQ_DEPRE_AMORT" hidden="1">"c10"</definedName>
    <definedName name="IQ_DEPRE_AMORT_SUPPL" localSheetId="0" hidden="1">"c1593"</definedName>
    <definedName name="IQ_DEPRE_AMORT_SUPPL" hidden="1">"c54"</definedName>
    <definedName name="IQ_DEPRE_DEPLE" localSheetId="0" hidden="1">"c1361"</definedName>
    <definedName name="IQ_DEPRE_DEPLE" hidden="1">"c120"</definedName>
    <definedName name="IQ_DEPRE_SUPP" localSheetId="0" hidden="1">"c1443"</definedName>
    <definedName name="IQ_DEPRE_SUPP" hidden="1">"c136"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localSheetId="0" hidden="1">"c1520"</definedName>
    <definedName name="IQ_DESCRIPTION_LONG" hidden="1">"c211"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localSheetId="0" hidden="1">"c1621"</definedName>
    <definedName name="IQ_DILUT_ADJUST" hidden="1">"c47"</definedName>
    <definedName name="IQ_DILUT_EPS_EXCL" localSheetId="0" hidden="1">"c324"</definedName>
    <definedName name="IQ_DILUT_EPS_EXCL" hidden="1">"c49"</definedName>
    <definedName name="IQ_DILUT_EPS_INCL" localSheetId="0" hidden="1">"c325"</definedName>
    <definedName name="IQ_DILUT_EPS_INCL" hidden="1">"c50"</definedName>
    <definedName name="IQ_DILUT_EPS_NORM" hidden="1">"c1903"</definedName>
    <definedName name="IQ_DILUT_NI" hidden="1">"c2079"</definedName>
    <definedName name="IQ_DILUT_NORMAL_EPS" localSheetId="0" hidden="1">"c1594"</definedName>
    <definedName name="IQ_DILUT_NORMAL_EPS" hidden="1">"c66"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localSheetId="0" hidden="1">"c326"</definedName>
    <definedName name="IQ_DILUT_WEIGHT" hidden="1">"c48"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localSheetId="0" hidden="1">"c1367"</definedName>
    <definedName name="IQ_DISCONT_OPER" hidden="1">"c37"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0" hidden="1">"c1366"</definedName>
    <definedName name="IQ_DIVID_SHARE" hidden="1">"c51"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localSheetId="0" hidden="1">"c332"</definedName>
    <definedName name="IQ_DIVIDEND_YIELD" hidden="1">"c230"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EST" hidden="1">"c1674"</definedName>
    <definedName name="IQ_DPS_EST_BOTTOM_UP" hidden="1">"c5493"</definedName>
    <definedName name="IQ_DPS_EST_BOTTOM_UP_CIQ" hidden="1">"c12030"</definedName>
    <definedName name="IQ_DPS_EST_CIQ" hidden="1">"c3682"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NUM_EST" hidden="1">"c1678"</definedName>
    <definedName name="IQ_DPS_NUM_EST_CIQ" hidden="1">"c3686"</definedName>
    <definedName name="IQ_DPS_STDDEV_EST" hidden="1">"c1679"</definedName>
    <definedName name="IQ_DPS_STDDEV_EST_CIQ" hidden="1">"c3687"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localSheetId="0" hidden="1">"c352"</definedName>
    <definedName name="IQ_EBIT" hidden="1">"c22"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XCL_SBC" hidden="1">"c3082"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GUIDANCE" hidden="1">"c4212"</definedName>
    <definedName name="IQ_EBIT_LOW_GUIDANCE_CIQ" hidden="1">"c4624"</definedName>
    <definedName name="IQ_EBIT_MARGIN" localSheetId="0" hidden="1">"c359"</definedName>
    <definedName name="IQ_EBIT_MARGIN" hidden="1">"c141"</definedName>
    <definedName name="IQ_EBIT_MEDIAN_EST" hidden="1">"c1682"</definedName>
    <definedName name="IQ_EBIT_MEDIAN_EST_CIQ" hidden="1">"c4675"</definedName>
    <definedName name="IQ_EBIT_NUM_EST" hidden="1">"c1685"</definedName>
    <definedName name="IQ_EBIT_NUM_EST_CIQ" hidden="1">"c4678"</definedName>
    <definedName name="IQ_EBIT_OVER_IE" localSheetId="0" hidden="1">"c1369"</definedName>
    <definedName name="IQ_EBIT_OVER_IE" hidden="1">"c184"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localSheetId="0" hidden="1">"c361"</definedName>
    <definedName name="IQ_EBITDA" hidden="1">"c23"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localSheetId="0" hidden="1">"c1370"</definedName>
    <definedName name="IQ_EBITDA_CAPEX_OVER_TOTAL_IE" hidden="1">"c186"</definedName>
    <definedName name="IQ_EBITDA_EQ_INC" hidden="1">"c3496"</definedName>
    <definedName name="IQ_EBITDA_EQ_INC_EXCL_SBC" hidden="1">"c3500"</definedName>
    <definedName name="IQ_EBITDA_EST" localSheetId="0" hidden="1">"c369"</definedName>
    <definedName name="IQ_EBITDA_EST" hidden="1">"c252"</definedName>
    <definedName name="IQ_EBITDA_EST_CIQ" hidden="1">"c3622"</definedName>
    <definedName name="IQ_EBITDA_EST_REUT" hidden="1">"c3640"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HIGH_EST" localSheetId="0" hidden="1">"c370"</definedName>
    <definedName name="IQ_EBITDA_HIGH_EST" hidden="1">"c265"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localSheetId="0" hidden="1">"c371"</definedName>
    <definedName name="IQ_EBITDA_LOW_EST" hidden="1">"c266"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LOW_GUIDANCE_CIQ" hidden="1">"c4622"</definedName>
    <definedName name="IQ_EBITDA_MARGIN" localSheetId="0" hidden="1">"c372"</definedName>
    <definedName name="IQ_EBITDA_MARGIN" hidden="1">"c140"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localSheetId="0" hidden="1">"c374"</definedName>
    <definedName name="IQ_EBITDA_NUM_EST" hidden="1">"c267"</definedName>
    <definedName name="IQ_EBITDA_NUM_EST_CIQ" hidden="1">"c3626"</definedName>
    <definedName name="IQ_EBITDA_NUM_EST_REUT" hidden="1">"c3644"</definedName>
    <definedName name="IQ_EBITDA_OVER_TOTAL_IE" localSheetId="0" hidden="1">"c1371"</definedName>
    <definedName name="IQ_EBITDA_OVER_TOTAL_IE" hidden="1">"c185"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localSheetId="0" hidden="1">"c375"</definedName>
    <definedName name="IQ_EBITDA_STDDEV_EST" hidden="1">"c268"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" hidden="1">"c6896"</definedName>
    <definedName name="IQ_ECO_METRIC_6896_UNUSED_UNUSED_UNUSED" hidden="1">"c6896"</definedName>
    <definedName name="IQ_ECO_METRIC_6897" hidden="1">"c6897"</definedName>
    <definedName name="IQ_ECO_METRIC_6897_UNUSED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7" hidden="1">"c6927"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" hidden="1">"c7116"</definedName>
    <definedName name="IQ_ECO_METRIC_7116_UNUSED_UNUSED_UNUSED" hidden="1">"c7116"</definedName>
    <definedName name="IQ_ECO_METRIC_7117" hidden="1">"c7117"</definedName>
    <definedName name="IQ_ECO_METRIC_7117_UNUSED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7" hidden="1">"c7147"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" hidden="1">"c7336"</definedName>
    <definedName name="IQ_ECO_METRIC_7336_UNUSED_UNUSED_UNUSED" hidden="1">"c7336"</definedName>
    <definedName name="IQ_ECO_METRIC_7337" hidden="1">"c7337"</definedName>
    <definedName name="IQ_ECO_METRIC_7337_UNUSED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7" hidden="1">"c7367"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" hidden="1">"c7556"</definedName>
    <definedName name="IQ_ECO_METRIC_7556_UNUSED_UNUSED_UNUSED" hidden="1">"c7556"</definedName>
    <definedName name="IQ_ECO_METRIC_7557" hidden="1">"c7557"</definedName>
    <definedName name="IQ_ECO_METRIC_7557_UNUSED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7" hidden="1">"c7587"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4" hidden="1">"c7704"</definedName>
    <definedName name="IQ_ECO_METRIC_7705" hidden="1">"c7705"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8" hidden="1">"c7718"</definedName>
    <definedName name="IQ_ECO_METRIC_7719" hidden="1">"c7719"</definedName>
    <definedName name="IQ_ECO_METRIC_7719_UNUSED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" hidden="1">"c7776"</definedName>
    <definedName name="IQ_ECO_METRIC_7776_UNUSED_UNUSED_UNUSED" hidden="1">"c7776"</definedName>
    <definedName name="IQ_ECO_METRIC_7777" hidden="1">"c7777"</definedName>
    <definedName name="IQ_ECO_METRIC_7777_UNUSED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7" hidden="1">"c7807"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1" hidden="1">"c7811"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3" hidden="1">"c7873"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4" hidden="1">"c7924"</definedName>
    <definedName name="IQ_ECO_METRIC_7925" hidden="1">"c7925"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8" hidden="1">"c7938"</definedName>
    <definedName name="IQ_ECO_METRIC_7939" hidden="1">"c7939"</definedName>
    <definedName name="IQ_ECO_METRIC_7939_UNUSED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" hidden="1">"c7996"</definedName>
    <definedName name="IQ_ECO_METRIC_7996_UNUSED_UNUSED_UNUSED" hidden="1">"c7996"</definedName>
    <definedName name="IQ_ECO_METRIC_7997" hidden="1">"c7997"</definedName>
    <definedName name="IQ_ECO_METRIC_7997_UNUSED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7" hidden="1">"c8027"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1" hidden="1">"c8031"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3" hidden="1">"c8093"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4" hidden="1">"c8144"</definedName>
    <definedName name="IQ_ECO_METRIC_8145" hidden="1">"c8145"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8" hidden="1">"c8158"</definedName>
    <definedName name="IQ_ECO_METRIC_8159" hidden="1">"c8159"</definedName>
    <definedName name="IQ_ECO_METRIC_8159_UNUSED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" hidden="1">"c8216"</definedName>
    <definedName name="IQ_ECO_METRIC_8216_UNUSED_UNUSED_UNUSED" hidden="1">"c8216"</definedName>
    <definedName name="IQ_ECO_METRIC_8217" hidden="1">"c8217"</definedName>
    <definedName name="IQ_ECO_METRIC_8217_UNUSED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7" hidden="1">"c8247"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1" hidden="1">"c8251"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3" hidden="1">"c8313"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6" hidden="1">"c8366"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78" hidden="1">"c8378"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" hidden="1">"c8436"</definedName>
    <definedName name="IQ_ECO_METRIC_8436_UNUSED_UNUSED_UNUSED" hidden="1">"c8436"</definedName>
    <definedName name="IQ_ECO_METRIC_8437" hidden="1">"c8437"</definedName>
    <definedName name="IQ_ECO_METRIC_8437_UNUSED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7" hidden="1">"c8467"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1" hidden="1">"c8471"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3" hidden="1">"c8533"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localSheetId="0" hidden="1">"c1595"</definedName>
    <definedName name="IQ_EFFECT_SPECIAL_CHARGE" hidden="1">"c61"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localSheetId="0" hidden="1">"c392"</definedName>
    <definedName name="IQ_EMPLOYEES" hidden="1">"c221"</definedName>
    <definedName name="IQ_EMPLOYEES_FFIEC" hidden="1">"c13035"</definedName>
    <definedName name="IQ_ENTERPRISE_VALUE" localSheetId="0" hidden="1">"c1348"</definedName>
    <definedName name="IQ_ENTERPRISE_VALUE" hidden="1">"c2"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localSheetId="0" hidden="1">"c399"</definedName>
    <definedName name="IQ_EPS_EST" hidden="1">"c187"</definedName>
    <definedName name="IQ_EPS_EST_BOTTOM_UP" hidden="1">"c5489"</definedName>
    <definedName name="IQ_EPS_EST_BOTTOM_UP_CIQ" hidden="1">"c12026"</definedName>
    <definedName name="IQ_EPS_EST_CIQ" hidden="1">"c4994"</definedName>
    <definedName name="IQ_EPS_EST_REUT" hidden="1">"c5453"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localSheetId="0" hidden="1">"c400"</definedName>
    <definedName name="IQ_EPS_HIGH_EST" hidden="1">"c269"</definedName>
    <definedName name="IQ_EPS_HIGH_EST_CIQ" hidden="1">"c4995"</definedName>
    <definedName name="IQ_EPS_HIGH_EST_REUT" hidden="1">"c5454"</definedName>
    <definedName name="IQ_EPS_LOW_EST" localSheetId="0" hidden="1">"c401"</definedName>
    <definedName name="IQ_EPS_LOW_EST" hidden="1">"c270"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localSheetId="0" hidden="1">"c402"</definedName>
    <definedName name="IQ_EPS_NUM_EST" hidden="1">"c271"</definedName>
    <definedName name="IQ_EPS_NUM_EST_CIQ" hidden="1">"c4992"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localSheetId="0" hidden="1">"c403"</definedName>
    <definedName name="IQ_EPS_STDDEV_EST" hidden="1">"c272"</definedName>
    <definedName name="IQ_EPS_STDDEV_EST_CIQ" hidden="1">"c4993"</definedName>
    <definedName name="IQ_EPS_STDDEV_EST_REUT" hidden="1">"c5452"</definedName>
    <definedName name="IQ_EQUITY_AFFIL" localSheetId="0" hidden="1">"c1451"</definedName>
    <definedName name="IQ_EQUITY_AFFIL" hidden="1">"c33"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localSheetId="0" hidden="1">"c1596"</definedName>
    <definedName name="IQ_EQV_OVER_BV" hidden="1">"c173"</definedName>
    <definedName name="IQ_EQV_OVER_LTM_PRETAX_INC" localSheetId="0" hidden="1">"c1390"</definedName>
    <definedName name="IQ_EQV_OVER_LTM_PRETAX_INC" hidden="1">"c178"</definedName>
    <definedName name="IQ_ESOP_DEBT" localSheetId="0" hidden="1">"c1597"</definedName>
    <definedName name="IQ_ESOP_DEBT" hidden="1">"c112"</definedName>
    <definedName name="IQ_ESOP_DEBT_GUARANTEED_FFIEC" hidden="1">"c12971"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CAPEX" hidden="1">"c3546"</definedName>
    <definedName name="IQ_EST_ACT_CAPEX_CIQ" hidden="1">"c3813"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REUT" hidden="1">"c3843"</definedName>
    <definedName name="IQ_EST_ACT_FFO_SHARE" hidden="1">"c1666"</definedName>
    <definedName name="IQ_EST_ACT_FFO_SHARE_CIQ" hidden="1">"c3674"</definedName>
    <definedName name="IQ_EST_ACT_FFO_SHARE_SHARE_REUT" hidden="1">"c3843"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ET_DEBT" hidden="1">"c3545"</definedName>
    <definedName name="IQ_EST_ACT_NET_DEBT_CIQ" hidden="1">"c3820"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REPORTED" hidden="1">"c1736"</definedName>
    <definedName name="IQ_EST_ACT_NI_REPORTED_CIQ" hidden="1">"c4722"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PRETAX_GW_INC" hidden="1">"c1708"</definedName>
    <definedName name="IQ_EST_ACT_PRETAX_GW_INC_CIQ" hidden="1">"c4694"</definedName>
    <definedName name="IQ_EST_ACT_PRETAX_INC" hidden="1">"c1701"</definedName>
    <definedName name="IQ_EST_ACT_PRETAX_INC_CIQ" hidden="1">"c4687"</definedName>
    <definedName name="IQ_EST_ACT_PRETAX_REPORT_INC" hidden="1">"c1715"</definedName>
    <definedName name="IQ_EST_ACT_PRETAX_REPORT_INC_CIQ" hidden="1">"c4701"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DIFF_REUT" hidden="1">"c5433"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REUT" hidden="1">"c5434"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2YR" hidden="1">"c3589"</definedName>
    <definedName name="IQ_EST_CAPEX_GROWTH_2YR_CIQ" hidden="1">"c4973"</definedName>
    <definedName name="IQ_EST_CAPEX_GROWTH_Q_1YR" hidden="1">"c3590"</definedName>
    <definedName name="IQ_EST_CAPEX_GROWTH_Q_1YR_CIQ" hidden="1">"c4974"</definedName>
    <definedName name="IQ_EST_CAPEX_SEQ_GROWTH_Q" hidden="1">"c3591"</definedName>
    <definedName name="IQ_EST_CAPEX_SEQ_GROWTH_Q_CIQ" hidden="1">"c4975"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GROWTH_1YR" hidden="1">"c1774"</definedName>
    <definedName name="IQ_EST_CFPS_GROWTH_1YR_CIQ" hidden="1">"c3709"</definedName>
    <definedName name="IQ_EST_CFPS_GROWTH_2YR" hidden="1">"c1775"</definedName>
    <definedName name="IQ_EST_CFPS_GROWTH_2YR_CIQ" hidden="1">"c3710"</definedName>
    <definedName name="IQ_EST_CFPS_GROWTH_Q_1YR" hidden="1">"c1776"</definedName>
    <definedName name="IQ_EST_CFPS_GROWTH_Q_1YR_CIQ" hidden="1">"c3711"</definedName>
    <definedName name="IQ_EST_CFPS_SEQ_GROWTH_Q" hidden="1">"c1777"</definedName>
    <definedName name="IQ_EST_CFPS_SEQ_GROWTH_Q_CIQ" hidden="1">"c3712"</definedName>
    <definedName name="IQ_EST_CFPS_SURPRISE_PERCENT" hidden="1">"c1872"</definedName>
    <definedName name="IQ_EST_CFPS_SURPRISE_PERCENT_CIQ" hidden="1">"c3724"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GROWTH_1YR" hidden="1">"c1778"</definedName>
    <definedName name="IQ_EST_DPS_GROWTH_1YR_CIQ" hidden="1">"c3713"</definedName>
    <definedName name="IQ_EST_DPS_GROWTH_2YR" hidden="1">"c1779"</definedName>
    <definedName name="IQ_EST_DPS_GROWTH_2YR_CIQ" hidden="1">"c3714"</definedName>
    <definedName name="IQ_EST_DPS_GROWTH_Q_1YR" hidden="1">"c1780"</definedName>
    <definedName name="IQ_EST_DPS_GROWTH_Q_1YR_CIQ" hidden="1">"c3715"</definedName>
    <definedName name="IQ_EST_DPS_SEQ_GROWTH_Q" hidden="1">"c1781"</definedName>
    <definedName name="IQ_EST_DPS_SEQ_GROWTH_Q_CIQ" hidden="1">"c3716"</definedName>
    <definedName name="IQ_EST_DPS_SURPRISE_PERCENT" hidden="1">"c1874"</definedName>
    <definedName name="IQ_EST_DPS_SURPRISE_PERCENT_CIQ" hidden="1">"c3726"</definedName>
    <definedName name="IQ_EST_EBIT_DIFF" hidden="1">"c1875"</definedName>
    <definedName name="IQ_EST_EBIT_DIFF_CIQ" hidden="1">"c4747"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"c4969"</definedName>
    <definedName name="IQ_EST_FFO_DIFF_REUT" hidden="1">"c3890"</definedName>
    <definedName name="IQ_EST_FFO_GROWTH_1YR" hidden="1">"c1770"</definedName>
    <definedName name="IQ_EST_FFO_GROWTH_1YR_CIQ" hidden="1">"c4950"</definedName>
    <definedName name="IQ_EST_FFO_GROWTH_2YR" hidden="1">"c1771"</definedName>
    <definedName name="IQ_EST_FFO_GROWTH_2YR_CIQ" hidden="1">"c4951"</definedName>
    <definedName name="IQ_EST_FFO_GROWTH_Q_1YR" hidden="1">"c1772"</definedName>
    <definedName name="IQ_EST_FFO_GROWTH_Q_1YR_CIQ" hidden="1">"c4952"</definedName>
    <definedName name="IQ_EST_FFO_SEQ_GROWTH_Q" hidden="1">"c1773"</definedName>
    <definedName name="IQ_EST_FFO_SEQ_GROWTH_Q_CIQ" hidden="1">"c4953"</definedName>
    <definedName name="IQ_EST_FFO_SHARE_DIFF" hidden="1">"c1869"</definedName>
    <definedName name="IQ_EST_FFO_SHARE_DIFF_CIQ" hidden="1">"c3721"</definedName>
    <definedName name="IQ_EST_FFO_SHARE_GROWTH_1YR" hidden="1">"c1770"</definedName>
    <definedName name="IQ_EST_FFO_SHARE_GROWTH_1YR_CIQ" hidden="1">"c3705"</definedName>
    <definedName name="IQ_EST_FFO_SHARE_GROWTH_2YR" hidden="1">"c1771"</definedName>
    <definedName name="IQ_EST_FFO_SHARE_GROWTH_2YR_CIQ" hidden="1">"c3706"</definedName>
    <definedName name="IQ_EST_FFO_SHARE_GROWTH_Q_1YR" hidden="1">"c1772"</definedName>
    <definedName name="IQ_EST_FFO_SHARE_GROWTH_Q_1YR_CIQ" hidden="1">"c3707"</definedName>
    <definedName name="IQ_EST_FFO_SHARE_SEQ_GROWTH_Q" hidden="1">"c1773"</definedName>
    <definedName name="IQ_EST_FFO_SHARE_SEQ_GROWTH_Q_CIQ" hidden="1">"c3708"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"c1870"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GW_DIFF" hidden="1">"c1887"</definedName>
    <definedName name="IQ_EST_NI_GW_DIFF_CIQ" hidden="1">"c4757"</definedName>
    <definedName name="IQ_EST_NI_GW_SURPRISE_PERCENT" hidden="1">"c1888"</definedName>
    <definedName name="IQ_EST_NI_GW_SURPRISE_PERCENT_CIQ" hidden="1">"c4758"</definedName>
    <definedName name="IQ_EST_NI_REPORT_DIFF" hidden="1">"c1889"</definedName>
    <definedName name="IQ_EST_NI_REPORT_DIFF_CIQ" hidden="1">"c4759"</definedName>
    <definedName name="IQ_EST_NI_REPORT_SURPRISE_PERCENT" hidden="1">"c1890"</definedName>
    <definedName name="IQ_EST_NI_REPORT_SURPRISE_PERCENT_CIQ" hidden="1">"c4760"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SURPRISE_PERCENT" hidden="1">"c1878"</definedName>
    <definedName name="IQ_EST_OPER_INC_SURPRISE_PERCENT_CIQ" hidden="1">"c12018"</definedName>
    <definedName name="IQ_EST_PRE_TAX_DIFF" hidden="1">"c1879"</definedName>
    <definedName name="IQ_EST_PRE_TAX_DIFF_CIQ" hidden="1">"c4749"</definedName>
    <definedName name="IQ_EST_PRE_TAX_GW_DIFF" hidden="1">"c1881"</definedName>
    <definedName name="IQ_EST_PRE_TAX_GW_DIFF_CIQ" hidden="1">"c4751"</definedName>
    <definedName name="IQ_EST_PRE_TAX_GW_SURPRISE_PERCENT" hidden="1">"c1882"</definedName>
    <definedName name="IQ_EST_PRE_TAX_GW_SURPRISE_PERCENT_CIQ" hidden="1">"c4752"</definedName>
    <definedName name="IQ_EST_PRE_TAX_REPORT_DIFF" hidden="1">"c1883"</definedName>
    <definedName name="IQ_EST_PRE_TAX_REPORT_DIFF_CIQ" hidden="1">"c4753"</definedName>
    <definedName name="IQ_EST_PRE_TAX_REPORT_SURPRISE_PERCENT" hidden="1">"c1884"</definedName>
    <definedName name="IQ_EST_PRE_TAX_REPORT_SURPRISE_PERCENT_CIQ" hidden="1">"c4754"</definedName>
    <definedName name="IQ_EST_PRE_TAX_SURPRISE_PERCENT" hidden="1">"c1880"</definedName>
    <definedName name="IQ_EST_PRE_TAX_SURPRISE_PERCENT_CIQ" hidden="1">"c4750"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localSheetId="0" hidden="1">"c1428"</definedName>
    <definedName name="IQ_EV_OVER_EMPLOYEE" hidden="1">"c172"</definedName>
    <definedName name="IQ_EV_OVER_LTM_EBIT" localSheetId="0" hidden="1">"c1426"</definedName>
    <definedName name="IQ_EV_OVER_LTM_EBIT" hidden="1">"c167"</definedName>
    <definedName name="IQ_EV_OVER_LTM_EBITDA" localSheetId="0" hidden="1">"c1427"</definedName>
    <definedName name="IQ_EV_OVER_LTM_EBITDA" hidden="1">"c168"</definedName>
    <definedName name="IQ_EV_OVER_LTM_REVENUE" localSheetId="0" hidden="1">"c1429"</definedName>
    <definedName name="IQ_EV_OVER_LTM_REVENUE" hidden="1">"c169"</definedName>
    <definedName name="IQ_EVAL_DATE" hidden="1">"c2180"</definedName>
    <definedName name="IQ_EXCHANGE" localSheetId="0" hidden="1">"c405"</definedName>
    <definedName name="IQ_EXCHANGE" hidden="1">"c210"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localSheetId="0" hidden="1">"c1459"</definedName>
    <definedName name="IQ_EXTRA_ITEMS" hidden="1">"c38"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localSheetId="0" hidden="1">"c418"</definedName>
    <definedName name="IQ_FFO_EST" hidden="1">"c273"</definedName>
    <definedName name="IQ_FFO_EST_CIQ" localSheetId="0" hidden="1">"c4970"</definedName>
    <definedName name="IQ_FFO_EST_CIQ" hidden="1">"c3668"</definedName>
    <definedName name="IQ_FFO_EST_REUT" hidden="1">"c3837"</definedName>
    <definedName name="IQ_FFO_GUIDANCE" hidden="1">"c4443"</definedName>
    <definedName name="IQ_FFO_GUIDANCE_CIQ" hidden="1">"c4968"</definedName>
    <definedName name="IQ_FFO_HIGH_EST" localSheetId="0" hidden="1">"c419"</definedName>
    <definedName name="IQ_FFO_HIGH_EST" hidden="1">"c274"</definedName>
    <definedName name="IQ_FFO_HIGH_EST_CIQ" localSheetId="0" hidden="1">"c4977"</definedName>
    <definedName name="IQ_FFO_HIGH_EST_CIQ" hidden="1">"c3670"</definedName>
    <definedName name="IQ_FFO_HIGH_EST_REUT" hidden="1">"c3839"</definedName>
    <definedName name="IQ_FFO_HIGH_GUIDANCE" hidden="1">"c4184"</definedName>
    <definedName name="IQ_FFO_HIGH_GUIDANCE_CIQ" hidden="1">"c4596"</definedName>
    <definedName name="IQ_FFO_LOW_EST" localSheetId="0" hidden="1">"c420"</definedName>
    <definedName name="IQ_FFO_LOW_EST" hidden="1">"c275"</definedName>
    <definedName name="IQ_FFO_LOW_EST_CIQ" localSheetId="0" hidden="1">"c4978"</definedName>
    <definedName name="IQ_FFO_LOW_EST_CIQ" hidden="1">"c3671"</definedName>
    <definedName name="IQ_FFO_LOW_EST_REUT" hidden="1">"c3840"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localSheetId="0" hidden="1">"c4979"</definedName>
    <definedName name="IQ_FFO_MEDIAN_EST_CIQ" hidden="1">"c3669"</definedName>
    <definedName name="IQ_FFO_MEDIAN_EST_REUT" hidden="1">"c3838"</definedName>
    <definedName name="IQ_FFO_NUM_EST" localSheetId="0" hidden="1">"c421"</definedName>
    <definedName name="IQ_FFO_NUM_EST" hidden="1">"c276"</definedName>
    <definedName name="IQ_FFO_NUM_EST_CIQ" localSheetId="0" hidden="1">"c4980"</definedName>
    <definedName name="IQ_FFO_NUM_EST_CIQ" hidden="1">"c3672"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"c418"</definedName>
    <definedName name="IQ_FFO_SHARE_EST_CIQ" hidden="1">"c3668"</definedName>
    <definedName name="IQ_FFO_SHARE_GUIDANCE" hidden="1">"c4447"</definedName>
    <definedName name="IQ_FFO_SHARE_GUIDANCE_CIQ" hidden="1">"c4976"</definedName>
    <definedName name="IQ_FFO_SHARE_HIGH_EST" hidden="1">"c419"</definedName>
    <definedName name="IQ_FFO_SHARE_HIGH_EST_CIQ" hidden="1">"c3670"</definedName>
    <definedName name="IQ_FFO_SHARE_HIGH_GUIDANCE" hidden="1">"c4203"</definedName>
    <definedName name="IQ_FFO_SHARE_HIGH_GUIDANCE_CIQ" hidden="1">"c4615"</definedName>
    <definedName name="IQ_FFO_SHARE_LOW_EST" hidden="1">"c420"</definedName>
    <definedName name="IQ_FFO_SHARE_LOW_EST_CIQ" hidden="1">"c3671"</definedName>
    <definedName name="IQ_FFO_SHARE_LOW_GUIDANCE" hidden="1">"c4243"</definedName>
    <definedName name="IQ_FFO_SHARE_LOW_GUIDANCE_CIQ" hidden="1">"c4655"</definedName>
    <definedName name="IQ_FFO_SHARE_MEDIAN_EST" hidden="1">"c1665"</definedName>
    <definedName name="IQ_FFO_SHARE_MEDIAN_EST_CIQ" hidden="1">"c3669"</definedName>
    <definedName name="IQ_FFO_SHARE_NUM_EST" hidden="1">"c421"</definedName>
    <definedName name="IQ_FFO_SHARE_NUM_EST_CIQ" hidden="1">"c3672"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"c422"</definedName>
    <definedName name="IQ_FFO_SHARE_STDDEV_EST_CIQ" hidden="1">"c3673"</definedName>
    <definedName name="IQ_FFO_STDDEV_EST" localSheetId="0" hidden="1">"c422"</definedName>
    <definedName name="IQ_FFO_STDDEV_EST" hidden="1">"c277"</definedName>
    <definedName name="IQ_FFO_STDDEV_EST_CIQ" localSheetId="0" hidden="1">"c4981"</definedName>
    <definedName name="IQ_FFO_STDDEV_EST_CIQ" hidden="1">"c3673"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localSheetId="0" hidden="1">"c1405"</definedName>
    <definedName name="IQ_FINANCING_CASH" hidden="1">"c129"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localSheetId="0" hidden="1">"c440"</definedName>
    <definedName name="IQ_FISCAL_Q" hidden="1">"c245"</definedName>
    <definedName name="IQ_FISCAL_Q_EST" hidden="1">"c6794"</definedName>
    <definedName name="IQ_FISCAL_Q_EST_CIQ" hidden="1">"c6806"</definedName>
    <definedName name="IQ_FISCAL_Y" localSheetId="0" hidden="1">"c441"</definedName>
    <definedName name="IQ_FISCAL_Y" hidden="1">"c247"</definedName>
    <definedName name="IQ_FISCAL_Y_EST" hidden="1">"c6795"</definedName>
    <definedName name="IQ_FISCAL_Y_EST_CIQ" hidden="1">"c6807"</definedName>
    <definedName name="IQ_FIVE_PERCENT_OWNER" localSheetId="0" hidden="1">"c442"</definedName>
    <definedName name="IQ_FIVE_PERCENT_OWNER" hidden="1">"c239"</definedName>
    <definedName name="IQ_FIVE_YEAR_FIXED_AND_FLOATING_RATE_FDIC" hidden="1">"c6422"</definedName>
    <definedName name="IQ_FIVE_YEAR_MORTGAGE_PASS_THROUGHS_FDIC" hidden="1">"c6414"</definedName>
    <definedName name="IQ_FIVEPERCENT_PERCENT" localSheetId="0" hidden="1">"c443"</definedName>
    <definedName name="IQ_FIVEPERCENT_PERCENT" hidden="1">"c240"</definedName>
    <definedName name="IQ_FIVEPERCENT_SHARES" localSheetId="0" hidden="1">"c444"</definedName>
    <definedName name="IQ_FIVEPERCENT_SHARES" hidden="1">"c251"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localSheetId="0" hidden="1">"c1376"</definedName>
    <definedName name="IQ_FOREIGN_EXCHANGE" hidden="1">"c134"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0" hidden="1">"c1377"</definedName>
    <definedName name="IQ_GAIN_SALE_ASSETS" hidden="1">"c27"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localSheetId="0" hidden="1">"c1380"</definedName>
    <definedName name="IQ_GOODWILL_NET" hidden="1">"c85"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localSheetId="0" hidden="1">"c1446"</definedName>
    <definedName name="IQ_GROSS_DIVID" hidden="1">"c52"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localSheetId="0" hidden="1">"c529"</definedName>
    <definedName name="IQ_GROSS_MARGIN" hidden="1">"c139"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localSheetId="0" hidden="1">"c1378"</definedName>
    <definedName name="IQ_GROSS_PROFIT" hidden="1">"c7"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CASINO" hidden="1">"c8721"</definedName>
    <definedName name="IQ_HG_REV_OTHER_HOTEL_MOTEL" hidden="1">"c8731"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CASINO_GAMING" hidden="1">"c8723"</definedName>
    <definedName name="IQ_HG_REV_TOTAL_HOTEL_MOTEL" hidden="1">"c8732"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localSheetId="0" hidden="1">"c545"</definedName>
    <definedName name="IQ_HIGHPRICE" hidden="1">"c193"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localSheetId="0" hidden="1">"c1598"</definedName>
    <definedName name="IQ_INC_AFTER_TAX" hidden="1">"c31"</definedName>
    <definedName name="IQ_INC_AVAIL_EXCL" localSheetId="0" hidden="1">"c1395"</definedName>
    <definedName name="IQ_INC_AVAIL_EXCL" hidden="1">"c42"</definedName>
    <definedName name="IQ_INC_AVAIL_INCL" localSheetId="0" hidden="1">"c1396"</definedName>
    <definedName name="IQ_INC_AVAIL_INCL" hidden="1">"c43"</definedName>
    <definedName name="IQ_INC_BEFORE_TAX" localSheetId="0" hidden="1">"c1375"</definedName>
    <definedName name="IQ_INC_BEFORE_TAX" hidden="1">"c29"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localSheetId="0" hidden="1">"c560"</definedName>
    <definedName name="IQ_INC_TAX" hidden="1">"c30"</definedName>
    <definedName name="IQ_INC_TAX_EXCL" localSheetId="0" hidden="1">"c1599"</definedName>
    <definedName name="IQ_INC_TAX_EXCL" hidden="1">"c62"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localSheetId="0" hidden="1">"c577"</definedName>
    <definedName name="IQ_INSIDER_OWNER" hidden="1">"c237"</definedName>
    <definedName name="IQ_INSIDER_PERCENT" localSheetId="0" hidden="1">"c578"</definedName>
    <definedName name="IQ_INSIDER_PERCENT" hidden="1">"c238"</definedName>
    <definedName name="IQ_INSIDER_SHARES" localSheetId="0" hidden="1">"c579"</definedName>
    <definedName name="IQ_INSIDER_SHARES" hidden="1">"c250"</definedName>
    <definedName name="IQ_INST_DEPOSITS" hidden="1">"c89"</definedName>
    <definedName name="IQ_INSTITUTIONAL_OVER_TOTAL" hidden="1">"c1580"</definedName>
    <definedName name="IQ_INSTITUTIONAL_OWNER" localSheetId="0" hidden="1">"c580"</definedName>
    <definedName name="IQ_INSTITUTIONAL_OWNER" hidden="1">"c235"</definedName>
    <definedName name="IQ_INSTITUTIONAL_PERCENT" localSheetId="0" hidden="1">"c581"</definedName>
    <definedName name="IQ_INSTITUTIONAL_PERCENT" hidden="1">"c236"</definedName>
    <definedName name="IQ_INSTITUTIONAL_SHARES" localSheetId="0" hidden="1">"c582"</definedName>
    <definedName name="IQ_INSTITUTIONAL_SHARES" hidden="1">"c249"</definedName>
    <definedName name="IQ_INSTITUTIONS_EARNINGS_GAINS_FDIC" hidden="1">"c6723"</definedName>
    <definedName name="IQ_INSUR_RECEIV" localSheetId="0" hidden="1">"c1600"</definedName>
    <definedName name="IQ_INSUR_RECEIV" hidden="1">"c288"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localSheetId="0" hidden="1">"c1407"</definedName>
    <definedName name="IQ_INTANGIBLES_NET" hidden="1">"c86"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localSheetId="0" hidden="1">"c1450"</definedName>
    <definedName name="IQ_INTEREST_EXP_NET" hidden="1">"c17"</definedName>
    <definedName name="IQ_INTEREST_EXP_NON" localSheetId="0" hidden="1">"c1383"</definedName>
    <definedName name="IQ_INTEREST_EXP_NON" hidden="1">"c24"</definedName>
    <definedName name="IQ_INTEREST_EXP_SUPPL" localSheetId="0" hidden="1">"c1460"</definedName>
    <definedName name="IQ_INTEREST_EXP_SUPPL" hidden="1">"c53"</definedName>
    <definedName name="IQ_INTEREST_INC" localSheetId="0" hidden="1">"c1393"</definedName>
    <definedName name="IQ_INTEREST_INC" hidden="1">"c26"</definedName>
    <definedName name="IQ_INTEREST_INC_NON" localSheetId="0" hidden="1">"c1384"</definedName>
    <definedName name="IQ_INTEREST_INC_NON" hidden="1">"c25"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localSheetId="0" hidden="1">"c623"</definedName>
    <definedName name="IQ_INVENTORY_TURNS" hidden="1">"c147"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localSheetId="0" hidden="1">"c1391"</definedName>
    <definedName name="IQ_ISS_DEBT_NET" hidden="1">"c132"</definedName>
    <definedName name="IQ_ISS_STOCK_NET" localSheetId="0" hidden="1">"c1601"</definedName>
    <definedName name="IQ_ISS_STOCK_NET" hidden="1">"c131"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localSheetId="0" hidden="1">"c646"</definedName>
    <definedName name="IQ_LASTSALEPRICE" hidden="1">"c191"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localSheetId="0" hidden="1">"c1386"</definedName>
    <definedName name="IQ_LOAN_LOSS" hidden="1">"c12"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localSheetId="0" hidden="1">"c1387"</definedName>
    <definedName name="IQ_LONG_TERM_DEBT" hidden="1">"c98"</definedName>
    <definedName name="IQ_LONG_TERM_DEBT_OVER_TOTAL_CAP" localSheetId="0" hidden="1">"c1388"</definedName>
    <definedName name="IQ_LONG_TERM_DEBT_OVER_TOTAL_CAP" hidden="1">"c181"</definedName>
    <definedName name="IQ_LONG_TERM_GROWTH" localSheetId="0" hidden="1">"c671"</definedName>
    <definedName name="IQ_LONG_TERM_GROWTH" hidden="1">"c143"</definedName>
    <definedName name="IQ_LONG_TERM_INV" localSheetId="0" hidden="1">"c1389"</definedName>
    <definedName name="IQ_LONG_TERM_INV" hidden="1">"c87"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localSheetId="0" hidden="1">"c673"</definedName>
    <definedName name="IQ_LOWPRICE" hidden="1">"c194"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localSheetId="0" hidden="1">"c1602"</definedName>
    <definedName name="IQ_LT_NOTE_RECEIV" hidden="1">"c289"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localSheetId="0" hidden="1">"c1437"</definedName>
    <definedName name="IQ_LTM_REVENUE_OVER_EMPLOYEES" hidden="1">"c179"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localSheetId="0" hidden="1">"c712"</definedName>
    <definedName name="IQ_MARKETCAP" hidden="1">"c200"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GA_MARGIN" hidden="1">"c9930"</definedName>
    <definedName name="IQ_MC_GA_OPERATING_REV" hidden="1">"c9929"</definedName>
    <definedName name="IQ_MC_MEDICAL_COSTS_PMPM" hidden="1">"c9925"</definedName>
    <definedName name="IQ_MC_MEDICAL_EXPENSE_RATIO" hidden="1">"c9927"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MARGIN" hidden="1">"c9932"</definedName>
    <definedName name="IQ_MC_SGA_OPERATING_REV" hidden="1">"c9931"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localSheetId="0" hidden="1">"c727"</definedName>
    <definedName name="IQ_MINORITY_INTEREST" hidden="1">"c103"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localSheetId="0" hidden="1">"c733"</definedName>
    <definedName name="IQ_MINORITY_INTEREST_IS" hidden="1">"c32"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localSheetId="0" hidden="1">"c1603"</definedName>
    <definedName name="IQ_MISC_EARN_ADJ" hidden="1">"c41"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localSheetId="0" hidden="1">40651.7097453704</definedName>
    <definedName name="IQ_NAMES_REVISION_DATE_" hidden="1">41348.5007986111</definedName>
    <definedName name="IQ_NAMES_REVISION_DATE__1" hidden="1">42784.8235648148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CIQ" hidden="1">"c12038"</definedName>
    <definedName name="IQ_NAV_SHARE_EST" hidden="1">"c5609"</definedName>
    <definedName name="IQ_NAV_SHARE_EST_CIQ" hidden="1">"c12032"</definedName>
    <definedName name="IQ_NAV_SHARE_HIGH_EST" hidden="1">"c5612"</definedName>
    <definedName name="IQ_NAV_SHARE_HIGH_EST_CIQ" hidden="1">"c12035"</definedName>
    <definedName name="IQ_NAV_SHARE_LOW_EST" hidden="1">"c5613"</definedName>
    <definedName name="IQ_NAV_SHARE_LOW_EST_CIQ" hidden="1">"c12036"</definedName>
    <definedName name="IQ_NAV_SHARE_MEDIAN_EST" hidden="1">"c5610"</definedName>
    <definedName name="IQ_NAV_SHARE_MEDIAN_EST_CIQ" hidden="1">"c12033"</definedName>
    <definedName name="IQ_NAV_SHARE_NUM_EST" hidden="1">"c5614"</definedName>
    <definedName name="IQ_NAV_SHARE_NUM_EST_CIQ" hidden="1">"c12037"</definedName>
    <definedName name="IQ_NAV_SHARE_STDDEV_EST" hidden="1">"c5611"</definedName>
    <definedName name="IQ_NAV_SHARE_STDDEV_EST_CIQ" hidden="1">"c12034"</definedName>
    <definedName name="IQ_NAV_STDDEV_EST" hidden="1">"c1756"</definedName>
    <definedName name="IQ_NEGATIVE_FAIR_VALUE_DERIVATIVES_BENEFICIARY_FFIEC" hidden="1">"c13124"</definedName>
    <definedName name="IQ_NEGATIVE_FAIR_VALUE_DERIVATIVES_GUARANTOR_FFIEC" hidden="1">"c13117"</definedName>
    <definedName name="IQ_NET_CHANGE" localSheetId="0" hidden="1">"c749"</definedName>
    <definedName name="IQ_NET_CHANGE" hidden="1">"c135"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localSheetId="0" hidden="1">"c1584"</definedName>
    <definedName name="IQ_NET_DEBT" hidden="1">"c118"</definedName>
    <definedName name="IQ_NET_DEBT_ACT_OR_EST" hidden="1">"c3583"</definedName>
    <definedName name="IQ_NET_DEBT_ACT_OR_EST_CIQ" hidden="1">"c5070"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NUM_EST" hidden="1">"c3515"</definedName>
    <definedName name="IQ_NET_DEBT_NUM_EST_CIQ" hidden="1">"c3818"</definedName>
    <definedName name="IQ_NET_DEBT_STDDEV_EST" hidden="1">"c3516"</definedName>
    <definedName name="IQ_NET_DEBT_STDDEV_EST_CIQ" hidden="1">"c3819"</definedName>
    <definedName name="IQ_NET_EARNED" hidden="1">"c2734"</definedName>
    <definedName name="IQ_NET_FUNDS_PURCHASED_ASSETS_TOT_FFIEC" hidden="1">"c13448"</definedName>
    <definedName name="IQ_NET_INC" localSheetId="0" hidden="1">"c1394"</definedName>
    <definedName name="IQ_NET_INC" hidden="1">"c39"</definedName>
    <definedName name="IQ_NET_INC_BEFORE" localSheetId="0" hidden="1">"c1368"</definedName>
    <definedName name="IQ_NET_INC_BEFORE" hidden="1">"c35"</definedName>
    <definedName name="IQ_NET_INC_CF" localSheetId="0" hidden="1">"c1397"</definedName>
    <definedName name="IQ_NET_INC_CF" hidden="1">"c119"</definedName>
    <definedName name="IQ_NET_INC_MARGIN" localSheetId="0" hidden="1">"c1398"</definedName>
    <definedName name="IQ_NET_INC_MARGIN" hidden="1">"c142"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localSheetId="0" hidden="1">"c1392"</definedName>
    <definedName name="IQ_NET_INTEREST_INC" hidden="1">"c11"</definedName>
    <definedName name="IQ_NET_INTEREST_INC_AFTER_LL" localSheetId="0" hidden="1">"c1604"</definedName>
    <definedName name="IQ_NET_INTEREST_INC_AFTER_LL" hidden="1">"c13"</definedName>
    <definedName name="IQ_NET_INTEREST_MARGIN_FDIC" hidden="1">"c6726"</definedName>
    <definedName name="IQ_NET_LIFE_INS_IN_FORCE" hidden="1">"c2769"</definedName>
    <definedName name="IQ_NET_LOANS" localSheetId="0" hidden="1">"c772"</definedName>
    <definedName name="IQ_NET_LOANS" hidden="1">"c75"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FFIEC" hidden="1">"c13034"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EST" hidden="1">"c1723"</definedName>
    <definedName name="IQ_NI_GW_EST_CIQ" hidden="1">"c4709"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NUM_EST" hidden="1">"c1727"</definedName>
    <definedName name="IQ_NI_GW_NUM_EST_CIQ" hidden="1">"c4713"</definedName>
    <definedName name="IQ_NI_GW_STDDEV_EST" hidden="1">"c1728"</definedName>
    <definedName name="IQ_NI_GW_STDDEV_EST_CIQ" hidden="1">"c4714"</definedName>
    <definedName name="IQ_NI_HIGH_EST" hidden="1">"c1718"</definedName>
    <definedName name="IQ_NI_HIGH_EST_CIQ" hidden="1">"c4704"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REPORTED_EST" hidden="1">"c1730"</definedName>
    <definedName name="IQ_NI_REPORTED_EST_CIQ" hidden="1">"c4716"</definedName>
    <definedName name="IQ_NI_REPORTED_HIGH_EST" hidden="1">"c1732"</definedName>
    <definedName name="IQ_NI_REPORTED_HIGH_EST_CIQ" hidden="1">"c4718"</definedName>
    <definedName name="IQ_NI_REPORTED_LOW_EST" hidden="1">"c1733"</definedName>
    <definedName name="IQ_NI_REPORTED_LOW_EST_CIQ" hidden="1">"c4719"</definedName>
    <definedName name="IQ_NI_REPORTED_MEDIAN_EST" hidden="1">"c1731"</definedName>
    <definedName name="IQ_NI_REPORTED_MEDIAN_EST_CIQ" hidden="1">"c4717"</definedName>
    <definedName name="IQ_NI_REPORTED_NUM_EST" hidden="1">"c1734"</definedName>
    <definedName name="IQ_NI_REPORTED_NUM_EST_CIQ" hidden="1">"c4720"</definedName>
    <definedName name="IQ_NI_REPORTED_STDDEV_EST" hidden="1">"c1735"</definedName>
    <definedName name="IQ_NI_REPORTED_STDDEV_EST_CIQ" hidden="1">"c4721"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localSheetId="0" hidden="1">"c1399"</definedName>
    <definedName name="IQ_NON_CASH" hidden="1">"c123"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localSheetId="0" hidden="1">"c1400"</definedName>
    <definedName name="IQ_NON_INTEREST_EXP" hidden="1">"c15"</definedName>
    <definedName name="IQ_NON_INTEREST_INC" localSheetId="0" hidden="1">"c1401"</definedName>
    <definedName name="IQ_NON_INTEREST_INC" hidden="1">"c14"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localSheetId="0" hidden="1">"c1605"</definedName>
    <definedName name="IQ_NORMAL_INC_AFTER" hidden="1">"c63"</definedName>
    <definedName name="IQ_NORMAL_INC_AVAIL" localSheetId="0" hidden="1">"c1606"</definedName>
    <definedName name="IQ_NORMAL_INC_AVAIL" hidden="1">"c64"</definedName>
    <definedName name="IQ_NORMAL_INC_BEFORE" localSheetId="0" hidden="1">"c1607"</definedName>
    <definedName name="IQ_NORMAL_INC_BEFORE" hidden="1">"c60"</definedName>
    <definedName name="IQ_NOTES_PAY" localSheetId="0" hidden="1">"c1423"</definedName>
    <definedName name="IQ_NOTES_PAY" hidden="1">"c94"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localSheetId="0" hidden="1">"c12732"</definedName>
    <definedName name="IQ_OG_DAILY_PRDUCTION_GROWTH_GAS" hidden="1">"c10073"</definedName>
    <definedName name="IQ_OG_DAILY_PRDUCTION_GROWTH_GAS_EQUIVALENT" localSheetId="0" hidden="1">"c12733"</definedName>
    <definedName name="IQ_OG_DAILY_PRDUCTION_GROWTH_GAS_EQUIVALENT" hidden="1">"c10076"</definedName>
    <definedName name="IQ_OG_DAILY_PRDUCTION_GROWTH_NGL" localSheetId="0" hidden="1">"c12734"</definedName>
    <definedName name="IQ_OG_DAILY_PRDUCTION_GROWTH_NGL" hidden="1">"c10074"</definedName>
    <definedName name="IQ_OG_DAILY_PRDUCTION_GROWTH_OIL" localSheetId="0" hidden="1">"c12735"</definedName>
    <definedName name="IQ_OG_DAILY_PRDUCTION_GROWTH_OIL" hidden="1">"c10072"</definedName>
    <definedName name="IQ_OG_DAILY_PRDUCTION_GROWTH_OIL_EQUIVALENT" localSheetId="0" hidden="1">"c12736"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localSheetId="0" hidden="1">"c12737"</definedName>
    <definedName name="IQ_OG_PRDUCTION_GROWTH_GAS" hidden="1">"c10067"</definedName>
    <definedName name="IQ_OG_PRDUCTION_GROWTH_GAS_EQUIVALENT" localSheetId="0" hidden="1">"c12738"</definedName>
    <definedName name="IQ_OG_PRDUCTION_GROWTH_GAS_EQUIVALENT" hidden="1">"c10070"</definedName>
    <definedName name="IQ_OG_PRDUCTION_GROWTH_NGL" localSheetId="0" hidden="1">"c12739"</definedName>
    <definedName name="IQ_OG_PRDUCTION_GROWTH_NGL" hidden="1">"c10068"</definedName>
    <definedName name="IQ_OG_PRDUCTION_GROWTH_OIL" localSheetId="0" hidden="1">"c12740"</definedName>
    <definedName name="IQ_OG_PRDUCTION_GROWTH_OIL" hidden="1">"c10066"</definedName>
    <definedName name="IQ_OG_PRDUCTION_GROWTH_OIL_EQUIVALENT" localSheetId="0" hidden="1">"c12741"</definedName>
    <definedName name="IQ_OG_PRDUCTION_GROWTH_OIL_EQUIVALENT" hidden="1">"c10069"</definedName>
    <definedName name="IQ_OG_PRDUCTION_GROWTH_TOAL" localSheetId="0" hidden="1">"c12742"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localSheetId="0" hidden="1">"c848"</definedName>
    <definedName name="IQ_OPENPRICE" hidden="1">"c195"</definedName>
    <definedName name="IQ_OPER_INC" localSheetId="0" hidden="1">"c849"</definedName>
    <definedName name="IQ_OPER_INC" hidden="1">"c21"</definedName>
    <definedName name="IQ_OPER_INC_ACT_OR_EST" hidden="1">"c2220"</definedName>
    <definedName name="IQ_OPER_INC_ACT_OR_EST_CIQ" hidden="1">"c12019"</definedName>
    <definedName name="IQ_OPER_INC_BR" hidden="1">"c850"</definedName>
    <definedName name="IQ_OPER_INC_EST" hidden="1">"c1688"</definedName>
    <definedName name="IQ_OPER_INC_EST_CIQ" hidden="1">"c12010"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NUM_EST" hidden="1">"c1692"</definedName>
    <definedName name="IQ_OPER_INC_NUM_EST_CIQ" hidden="1">"c12014"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localSheetId="0" hidden="1">"c860"</definedName>
    <definedName name="IQ_OTHER_ASSETS" hidden="1">"c89"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localSheetId="0" hidden="1">"c1608"</definedName>
    <definedName name="IQ_OTHER_BEARING_LIAB" hidden="1">"c285"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localSheetId="0" hidden="1">"c1403"</definedName>
    <definedName name="IQ_OTHER_CURRENT_ASSETS" hidden="1">"c80"</definedName>
    <definedName name="IQ_OTHER_CURRENT_LIAB" localSheetId="0" hidden="1">"c1404"</definedName>
    <definedName name="IQ_OTHER_CURRENT_LIAB" hidden="1">"c96"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localSheetId="0" hidden="1">"c1609"</definedName>
    <definedName name="IQ_OTHER_EARNING" hidden="1">"c74"</definedName>
    <definedName name="IQ_OTHER_EQUITY" localSheetId="0" hidden="1">"c886"</definedName>
    <definedName name="IQ_OTHER_EQUITY" hidden="1">"c113"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0" hidden="1">"c1408"</definedName>
    <definedName name="IQ_OTHER_INVESTING" hidden="1">"c127"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localSheetId="0" hidden="1">"c930"</definedName>
    <definedName name="IQ_OTHER_LIAB" hidden="1">"c104"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localSheetId="0" hidden="1">"c1409"</definedName>
    <definedName name="IQ_OTHER_LONG_TERM" hidden="1">"c88"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localSheetId="0" hidden="1">"c1453"</definedName>
    <definedName name="IQ_OTHER_NET" hidden="1">"c28"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localSheetId="0" hidden="1">"c982"</definedName>
    <definedName name="IQ_OTHER_OPER" hidden="1">"c19"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localSheetId="0" hidden="1">"c1008"</definedName>
    <definedName name="IQ_OTHER_RECEIV" hidden="1">"c77"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0" hidden="1">"c1410"</definedName>
    <definedName name="IQ_OTHER_REVENUE" hidden="1">"c4"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localSheetId="0" hidden="1">"c1457"</definedName>
    <definedName name="IQ_PAY_ACCRUED" hidden="1">"c92"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2MONTHS_CIQ" hidden="1">"c3755"</definedName>
    <definedName name="IQ_PERCENT_CHANGE_EST_CFPS_18MONTHS" hidden="1">"c1813"</definedName>
    <definedName name="IQ_PERCENT_CHANGE_EST_CFPS_18MONTHS_CIQ" hidden="1">"c3756"</definedName>
    <definedName name="IQ_PERCENT_CHANGE_EST_CFPS_3MONTHS" hidden="1">"c1809"</definedName>
    <definedName name="IQ_PERCENT_CHANGE_EST_CFPS_3MONTHS_CIQ" hidden="1">"c3752"</definedName>
    <definedName name="IQ_PERCENT_CHANGE_EST_CFPS_6MONTHS" hidden="1">"c1810"</definedName>
    <definedName name="IQ_PERCENT_CHANGE_EST_CFPS_6MONTHS_CIQ" hidden="1">"c3753"</definedName>
    <definedName name="IQ_PERCENT_CHANGE_EST_CFPS_9MONTHS" hidden="1">"c1811"</definedName>
    <definedName name="IQ_PERCENT_CHANGE_EST_CFPS_9MONTHS_CIQ" hidden="1">"c3754"</definedName>
    <definedName name="IQ_PERCENT_CHANGE_EST_CFPS_DAY" hidden="1">"c1806"</definedName>
    <definedName name="IQ_PERCENT_CHANGE_EST_CFPS_DAY_CIQ" hidden="1">"c3750"</definedName>
    <definedName name="IQ_PERCENT_CHANGE_EST_CFPS_MONTH" hidden="1">"c1808"</definedName>
    <definedName name="IQ_PERCENT_CHANGE_EST_CFPS_MONTH_CIQ" hidden="1">"c3751"</definedName>
    <definedName name="IQ_PERCENT_CHANGE_EST_CFPS_WEEK" hidden="1">"c1807"</definedName>
    <definedName name="IQ_PERCENT_CHANGE_EST_CFPS_WEEK_CIQ" hidden="1">"c3793"</definedName>
    <definedName name="IQ_PERCENT_CHANGE_EST_DPS_12MONTHS" hidden="1">"c1820"</definedName>
    <definedName name="IQ_PERCENT_CHANGE_EST_DPS_12MONTHS_CIQ" hidden="1">"c3762"</definedName>
    <definedName name="IQ_PERCENT_CHANGE_EST_DPS_18MONTHS" hidden="1">"c1821"</definedName>
    <definedName name="IQ_PERCENT_CHANGE_EST_DPS_18MONTHS_CIQ" hidden="1">"c3763"</definedName>
    <definedName name="IQ_PERCENT_CHANGE_EST_DPS_3MONTHS" hidden="1">"c1817"</definedName>
    <definedName name="IQ_PERCENT_CHANGE_EST_DPS_3MONTHS_CIQ" hidden="1">"c3759"</definedName>
    <definedName name="IQ_PERCENT_CHANGE_EST_DPS_6MONTHS" hidden="1">"c1818"</definedName>
    <definedName name="IQ_PERCENT_CHANGE_EST_DPS_6MONTHS_CIQ" hidden="1">"c3760"</definedName>
    <definedName name="IQ_PERCENT_CHANGE_EST_DPS_9MONTHS" hidden="1">"c1819"</definedName>
    <definedName name="IQ_PERCENT_CHANGE_EST_DPS_9MONTHS_CIQ" hidden="1">"c3761"</definedName>
    <definedName name="IQ_PERCENT_CHANGE_EST_DPS_DAY" hidden="1">"c1814"</definedName>
    <definedName name="IQ_PERCENT_CHANGE_EST_DPS_DAY_CIQ" hidden="1">"c3757"</definedName>
    <definedName name="IQ_PERCENT_CHANGE_EST_DPS_MONTH" hidden="1">"c1816"</definedName>
    <definedName name="IQ_PERCENT_CHANGE_EST_DPS_MONTH_CIQ" hidden="1">"c3758"</definedName>
    <definedName name="IQ_PERCENT_CHANGE_EST_DPS_WEEK" hidden="1">"c1815"</definedName>
    <definedName name="IQ_PERCENT_CHANGE_EST_DPS_WEEK_CIQ" hidden="1">"c3794"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FORMANCE_LOC_FOREIGN_GUARANTEES_FFIEC" hidden="1">"c13251"</definedName>
    <definedName name="IQ_PERIODDATE" localSheetId="0" hidden="1">"c1414"</definedName>
    <definedName name="IQ_PERIODDATE" hidden="1">"c1"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localSheetId="0" hidden="1">"c1611"</definedName>
    <definedName name="IQ_PERTYPE" hidden="1">"c244"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localSheetId="0" hidden="1">"c12750"</definedName>
    <definedName name="IQ_PHARMBIO_NUMBER_PROD__APPROVED_DURING_PERIOD" hidden="1">"c10027"</definedName>
    <definedName name="IQ_PHARMBIO_NUMBER_PROD__CLINICAL_DEV" localSheetId="0" hidden="1">"c12745"</definedName>
    <definedName name="IQ_PHARMBIO_NUMBER_PROD__CLINICAL_DEV" hidden="1">"c10022"</definedName>
    <definedName name="IQ_PHARMBIO_NUMBER_PROD__LAUNCHED_DURING_PERIOD" localSheetId="0" hidden="1">"c12751"</definedName>
    <definedName name="IQ_PHARMBIO_NUMBER_PROD__LAUNCHED_DURING_PERIOD" hidden="1">"c10028"</definedName>
    <definedName name="IQ_PHARMBIO_NUMBER_PROD__PHASE_I" localSheetId="0" hidden="1">"c12746"</definedName>
    <definedName name="IQ_PHARMBIO_NUMBER_PROD__PHASE_I" hidden="1">"c10023"</definedName>
    <definedName name="IQ_PHARMBIO_NUMBER_PROD__PHASE_II" localSheetId="0" hidden="1">"c12747"</definedName>
    <definedName name="IQ_PHARMBIO_NUMBER_PROD__PHASE_II" hidden="1">"c10024"</definedName>
    <definedName name="IQ_PHARMBIO_NUMBER_PROD__PHASE_III" localSheetId="0" hidden="1">"c12748"</definedName>
    <definedName name="IQ_PHARMBIO_NUMBER_PROD__PHASE_III" hidden="1">"c10025"</definedName>
    <definedName name="IQ_PHARMBIO_NUMBER_PROD__PRE_CLINICAL_TRIALS" localSheetId="0" hidden="1">"c12744"</definedName>
    <definedName name="IQ_PHARMBIO_NUMBER_PROD__PRE_CLINICAL_TRIALS" hidden="1">"c10021"</definedName>
    <definedName name="IQ_PHARMBIO_NUMBER_PROD__PRE_REGISTRATION" localSheetId="0" hidden="1">"c12749"</definedName>
    <definedName name="IQ_PHARMBIO_NUMBER_PROD__PRE_REGISTRATION" hidden="1">"c10026"</definedName>
    <definedName name="IQ_PHARMBIO_NUMBER_PROD__RESEARCH_DEV" localSheetId="0" hidden="1">"c12743"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localSheetId="0" hidden="1">"c1612"</definedName>
    <definedName name="IQ_POLICY_LIAB" hidden="1">"c291"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localSheetId="0" hidden="1">"c1461"</definedName>
    <definedName name="IQ_PREF_DIVID" hidden="1">"c40"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localSheetId="0" hidden="1">"c1416"</definedName>
    <definedName name="IQ_PREF_STOCK" hidden="1">"c107"</definedName>
    <definedName name="IQ_PREF_STOCK_FFIEC" hidden="1">"c12875"</definedName>
    <definedName name="IQ_PREF_TOT" localSheetId="0" hidden="1">"c1415"</definedName>
    <definedName name="IQ_PREF_TOT" hidden="1">"c294"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0" hidden="1">"c1418"</definedName>
    <definedName name="IQ_PREPAID_EXPEN" hidden="1">"c81"</definedName>
    <definedName name="IQ_PREPAID_SUBS" hidden="1">"c2117"</definedName>
    <definedName name="IQ_PRETAX_GW_INC_EST" hidden="1">"c1702"</definedName>
    <definedName name="IQ_PRETAX_GW_INC_EST_CIQ" hidden="1">"c4688"</definedName>
    <definedName name="IQ_PRETAX_GW_INC_HIGH_EST" hidden="1">"c1704"</definedName>
    <definedName name="IQ_PRETAX_GW_INC_HIGH_EST_CIQ" hidden="1">"c4690"</definedName>
    <definedName name="IQ_PRETAX_GW_INC_LOW_EST" hidden="1">"c1705"</definedName>
    <definedName name="IQ_PRETAX_GW_INC_LOW_EST_CIQ" hidden="1">"c4691"</definedName>
    <definedName name="IQ_PRETAX_GW_INC_MEDIAN_EST" hidden="1">"c1703"</definedName>
    <definedName name="IQ_PRETAX_GW_INC_MEDIAN_EST_CIQ" hidden="1">"c4689"</definedName>
    <definedName name="IQ_PRETAX_GW_INC_NUM_EST" hidden="1">"c1706"</definedName>
    <definedName name="IQ_PRETAX_GW_INC_NUM_EST_CIQ" hidden="1">"c4692"</definedName>
    <definedName name="IQ_PRETAX_GW_INC_STDDEV_EST" hidden="1">"c1707"</definedName>
    <definedName name="IQ_PRETAX_GW_INC_STDDEV_EST_CIQ" hidden="1">"c4693"</definedName>
    <definedName name="IQ_PRETAX_INC_EST" hidden="1">"c1695"</definedName>
    <definedName name="IQ_PRETAX_INC_EST_CIQ" hidden="1">"c4681"</definedName>
    <definedName name="IQ_PRETAX_INC_HIGH_EST" hidden="1">"c1697"</definedName>
    <definedName name="IQ_PRETAX_INC_HIGH_EST_CIQ" hidden="1">"c4683"</definedName>
    <definedName name="IQ_PRETAX_INC_LOW_EST" hidden="1">"c1698"</definedName>
    <definedName name="IQ_PRETAX_INC_LOW_EST_CIQ" hidden="1">"c4684"</definedName>
    <definedName name="IQ_PRETAX_INC_MEDIAN_EST" hidden="1">"c1696"</definedName>
    <definedName name="IQ_PRETAX_INC_MEDIAN_EST_CIQ" hidden="1">"c4682"</definedName>
    <definedName name="IQ_PRETAX_INC_NUM_EST" hidden="1">"c1699"</definedName>
    <definedName name="IQ_PRETAX_INC_NUM_EST_CIQ" hidden="1">"c4685"</definedName>
    <definedName name="IQ_PRETAX_INC_STDDEV_EST" hidden="1">"c1700"</definedName>
    <definedName name="IQ_PRETAX_INC_STDDEV_EST_CIQ" hidden="1">"c4686"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HIGH_EST" hidden="1">"c1711"</definedName>
    <definedName name="IQ_PRETAX_REPORT_INC_HIGH_EST_CIQ" hidden="1">"c4697"</definedName>
    <definedName name="IQ_PRETAX_REPORT_INC_LOW_EST" hidden="1">"c1712"</definedName>
    <definedName name="IQ_PRETAX_REPORT_INC_LOW_EST_CIQ" hidden="1">"c4698"</definedName>
    <definedName name="IQ_PRETAX_REPORT_INC_MEDIAN_EST" hidden="1">"c1710"</definedName>
    <definedName name="IQ_PRETAX_REPORT_INC_MEDIAN_EST_CIQ" hidden="1">"c4696"</definedName>
    <definedName name="IQ_PRETAX_REPORT_INC_NUM_EST" hidden="1">"c1713"</definedName>
    <definedName name="IQ_PRETAX_REPORT_INC_NUM_EST_CIQ" hidden="1">"c4699"</definedName>
    <definedName name="IQ_PRETAX_REPORT_INC_STDDEV_EST" hidden="1">"c1714"</definedName>
    <definedName name="IQ_PRETAX_REPORT_INC_STDDEV_EST_CIQ" hidden="1">"c4700"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OVER_BVPS" localSheetId="0" hidden="1">"c1412"</definedName>
    <definedName name="IQ_PRICE_OVER_BVPS" hidden="1">"c171"</definedName>
    <definedName name="IQ_PRICE_OVER_LTM_EPS" localSheetId="0" hidden="1">"c1413"</definedName>
    <definedName name="IQ_PRICE_OVER_LTM_EPS" hidden="1">"c176"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localSheetId="0" hidden="1">"c1069"</definedName>
    <definedName name="IQ_PRICEDATE" hidden="1">"c207"</definedName>
    <definedName name="IQ_PRICEDATETIME" hidden="1">"IQ_PRICEDATETIME"</definedName>
    <definedName name="IQ_PRICING_DATE" localSheetId="0" hidden="1">"c1613"</definedName>
    <definedName name="IQ_PRICING_DATE" hidden="1">"c260"</definedName>
    <definedName name="IQ_PRIMARY_EPS_TYPE" hidden="1">"c4498"</definedName>
    <definedName name="IQ_PRIMARY_EPS_TYPE_CIQ" hidden="1">"c5036"</definedName>
    <definedName name="IQ_PRIMARY_EPS_TYPE_THOM" hidden="1">"c5297"</definedName>
    <definedName name="IQ_PRIMARY_INDUSTRY" localSheetId="0" hidden="1">"c1070"</definedName>
    <definedName name="IQ_PRIMARY_INDUSTRY" hidden="1">"c222"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localSheetId="0" hidden="1">"c1614"</definedName>
    <definedName name="IQ_PRO_FORMA_BASIC_EPS" hidden="1">"c57"</definedName>
    <definedName name="IQ_PRO_FORMA_DILUT_EPS" localSheetId="0" hidden="1">"c1615"</definedName>
    <definedName name="IQ_PRO_FORMA_DILUT_EPS" hidden="1">"c58"</definedName>
    <definedName name="IQ_PRO_FORMA_NET_INC" localSheetId="0" hidden="1">"c1452"</definedName>
    <definedName name="IQ_PRO_FORMA_NET_INC" hidden="1">"c56"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localSheetId="0" hidden="1">"c1071"</definedName>
    <definedName name="IQ_PROFESSIONAL" hidden="1">"c231"</definedName>
    <definedName name="IQ_PROFESSIONAL_TITLE" localSheetId="0" hidden="1">"c1072"</definedName>
    <definedName name="IQ_PROFESSIONAL_TITLE" hidden="1">"c232"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localSheetId="0" hidden="1">"c1379"</definedName>
    <definedName name="IQ_PROPERTY_GROSS" hidden="1">"c84"</definedName>
    <definedName name="IQ_PROPERTY_MGMT_FEE" hidden="1">"c1074"</definedName>
    <definedName name="IQ_PROPERTY_NET" localSheetId="0" hidden="1">"c1402"</definedName>
    <definedName name="IQ_PROPERTY_NET" hidden="1">"c83"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localSheetId="0" hidden="1">"c1086"</definedName>
    <definedName name="IQ_QUICK_RATIO" hidden="1">"c163"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localSheetId="0" hidden="1">"c1417"</definedName>
    <definedName name="IQ_REDEEM_PREF_STOCK" hidden="1">"c106"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localSheetId="0" hidden="1">"c1419"</definedName>
    <definedName name="IQ_RESEARCH_DEV" hidden="1">"c9"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localSheetId="0" hidden="1">"c2903"</definedName>
    <definedName name="IQ_RETAIL_ACQUIRED_FRANCHISE_STORES" hidden="1">"c2895"</definedName>
    <definedName name="IQ_RETAIL_ACQUIRED_OWNED_STORES" localSheetId="0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localSheetId="0" hidden="1">"c1420"</definedName>
    <definedName name="IQ_RETAINED_EARN" hidden="1">"c110"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localSheetId="0" hidden="1">"c1113"</definedName>
    <definedName name="IQ_RETURN_ASSETS" hidden="1">"c145"</definedName>
    <definedName name="IQ_RETURN_ASSETS_ACT_OR_EST" hidden="1">"c3585"</definedName>
    <definedName name="IQ_RETURN_ASSETS_ACT_OR_EST_CIQ" hidden="1">"c12020"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NUM_EST" hidden="1">"c3527"</definedName>
    <definedName name="IQ_RETURN_ASSETS_NUM_EST_CIQ" hidden="1">"c3832"</definedName>
    <definedName name="IQ_RETURN_ASSETS_STDDEV_EST" hidden="1">"c3528"</definedName>
    <definedName name="IQ_RETURN_ASSETS_STDDEV_EST_CIQ" hidden="1">"c3833"</definedName>
    <definedName name="IQ_RETURN_CAPITAL" hidden="1">"c1117"</definedName>
    <definedName name="IQ_RETURN_EMBEDDED_VALUE" hidden="1">"c9974"</definedName>
    <definedName name="IQ_RETURN_EQUITY" localSheetId="0" hidden="1">"c1118"</definedName>
    <definedName name="IQ_RETURN_EQUITY" hidden="1">"c146"</definedName>
    <definedName name="IQ_RETURN_EQUITY_ACT_OR_EST" hidden="1">"c3586"</definedName>
    <definedName name="IQ_RETURN_EQUITY_ACT_OR_EST_CIQ" hidden="1">"c12021"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NUM_EST" hidden="1">"c3533"</definedName>
    <definedName name="IQ_RETURN_EQUITY_NUM_EST_CIQ" hidden="1">"c3825"</definedName>
    <definedName name="IQ_RETURN_EQUITY_STDDEV_EST" hidden="1">"c3534"</definedName>
    <definedName name="IQ_RETURN_EQUITY_STDDEV_EST_CIQ" hidden="1">"c3826"</definedName>
    <definedName name="IQ_RETURN_INVESTMENT" localSheetId="0" hidden="1">"c1421"</definedName>
    <definedName name="IQ_RETURN_INVESTMENT" hidden="1">"c144"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localSheetId="0" hidden="1">"c1124"</definedName>
    <definedName name="IQ_REV_STDDEV_EST" hidden="1">"c264"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localSheetId="0" hidden="1">"c1422"</definedName>
    <definedName name="IQ_REVENUE" hidden="1">"c3"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localSheetId="0" hidden="1">"c1126"</definedName>
    <definedName name="IQ_REVENUE_EST" hidden="1">"c188"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GUIDANCE" hidden="1">"c4519"</definedName>
    <definedName name="IQ_REVENUE_GUIDANCE_CIQ" hidden="1">"c5057"</definedName>
    <definedName name="IQ_REVENUE_HIGH_EST" localSheetId="0" hidden="1">"c1127"</definedName>
    <definedName name="IQ_REVENUE_HIGH_EST" hidden="1">"c261"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HIGH_GUIDANCE_CIQ" hidden="1">"c4581"</definedName>
    <definedName name="IQ_REVENUE_LOW_EST" localSheetId="0" hidden="1">"c1128"</definedName>
    <definedName name="IQ_REVENUE_LOW_EST" hidden="1">"c262"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localSheetId="0" hidden="1">"c1129"</definedName>
    <definedName name="IQ_REVENUE_NUM_EST" hidden="1">"c263"</definedName>
    <definedName name="IQ_REVENUE_NUM_EST_CIQ" hidden="1">"c3620"</definedName>
    <definedName name="IQ_REVENUE_NUM_EST_REUT" hidden="1">"c3638"</definedName>
    <definedName name="IQ_REVISION_DATE_" localSheetId="0" hidden="1">39211.6976157407</definedName>
    <definedName name="IQ_REVISION_DATE_" hidden="1">39544.5522337963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UNITS" hidden="1">"c10005"</definedName>
    <definedName name="IQ_SEMI_BACKLOG_VALUE" hidden="1">"c10007"</definedName>
    <definedName name="IQ_SEMI_BOOK_TO_BILL_RATIO" hidden="1">"c10008"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localSheetId="0" hidden="1">"c1158"</definedName>
    <definedName name="IQ_SGA" hidden="1">"c8"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localSheetId="0" hidden="1">"c1164"</definedName>
    <definedName name="IQ_SHARESOUTSTANDING" hidden="1">"c201"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localSheetId="0" hidden="1">"c1425"</definedName>
    <definedName name="IQ_SHORT_TERM_INVEST" hidden="1">"c72"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localSheetId="0" hidden="1">"c1168"</definedName>
    <definedName name="IQ_SOURCE" hidden="1">"c281"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localSheetId="0" hidden="1">"c1200"</definedName>
    <definedName name="IQ_STATE" hidden="1">"c217"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localSheetId="0" hidden="1">"c1202"</definedName>
    <definedName name="IQ_STOCK_BASED" hidden="1">"c55"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localSheetId="0" hidden="1">"c1616"</definedName>
    <definedName name="IQ_TOT_ADJ_INC" hidden="1">"c287"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localSheetId="0" hidden="1">"c1234"</definedName>
    <definedName name="IQ_TOTAL_ASSETS" hidden="1">"c90"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localSheetId="0" hidden="1">"c1455"</definedName>
    <definedName name="IQ_TOTAL_CASH_DIVID" hidden="1">"c130"</definedName>
    <definedName name="IQ_TOTAL_CASH_FINAN" localSheetId="0" hidden="1">"c1352"</definedName>
    <definedName name="IQ_TOTAL_CASH_FINAN" hidden="1">"c133"</definedName>
    <definedName name="IQ_TOTAL_CASH_INVEST" localSheetId="0" hidden="1">"c1353"</definedName>
    <definedName name="IQ_TOTAL_CASH_INVEST" hidden="1">"c128"</definedName>
    <definedName name="IQ_TOTAL_CASH_OPER" localSheetId="0" hidden="1">"c1354"</definedName>
    <definedName name="IQ_TOTAL_CASH_OPER" hidden="1">"c125"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localSheetId="0" hidden="1">"c1411"</definedName>
    <definedName name="IQ_TOTAL_COMMON" hidden="1">"c116"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localSheetId="0" hidden="1">"c1430"</definedName>
    <definedName name="IQ_TOTAL_CURRENT_ASSETS" hidden="1">"c82"</definedName>
    <definedName name="IQ_TOTAL_CURRENT_LIAB" localSheetId="0" hidden="1">"c1431"</definedName>
    <definedName name="IQ_TOTAL_CURRENT_LIAB" hidden="1">"c97"</definedName>
    <definedName name="IQ_TOTAL_DEBT" localSheetId="0" hidden="1">"c1247"</definedName>
    <definedName name="IQ_TOTAL_DEBT" hidden="1">"c101"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localSheetId="0" hidden="1">"c1433"</definedName>
    <definedName name="IQ_TOTAL_DEBT_OVER_EBITDA" hidden="1">"c183"</definedName>
    <definedName name="IQ_TOTAL_DEBT_OVER_TOTAL_BV" localSheetId="0" hidden="1">"c1434"</definedName>
    <definedName name="IQ_TOTAL_DEBT_OVER_TOTAL_BV" hidden="1">"c180"</definedName>
    <definedName name="IQ_TOTAL_DEBT_OVER_TOTAL_CAP" localSheetId="0" hidden="1">"c1432"</definedName>
    <definedName name="IQ_TOTAL_DEBT_OVER_TOTAL_CAP" hidden="1">"c182"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localSheetId="0" hidden="1">"c1265"</definedName>
    <definedName name="IQ_TOTAL_DEPOSITS" hidden="1">"c284"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localSheetId="0" hidden="1">"c1267"</definedName>
    <definedName name="IQ_TOTAL_EQUITY" hidden="1">"c114"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localSheetId="0" hidden="1">"c1382"</definedName>
    <definedName name="IQ_TOTAL_INTEREST_EXP" hidden="1">"c67"</definedName>
    <definedName name="IQ_TOTAL_INVENTORY" localSheetId="0" hidden="1">"c1385"</definedName>
    <definedName name="IQ_TOTAL_INVENTORY" hidden="1">"c79"</definedName>
    <definedName name="IQ_TOTAL_INVEST" hidden="1">"c1275"</definedName>
    <definedName name="IQ_TOTAL_LIAB" localSheetId="0" hidden="1">"c1276"</definedName>
    <definedName name="IQ_TOTAL_LIAB" hidden="1">"c105"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localSheetId="0" hidden="1">"c1435"</definedName>
    <definedName name="IQ_TOTAL_LIAB_SHAREHOLD" hidden="1">"c115"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localSheetId="0" hidden="1">"c1617"</definedName>
    <definedName name="IQ_TOTAL_LONG_DEBT" hidden="1">"c100"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localSheetId="0" hidden="1">"c1445"</definedName>
    <definedName name="IQ_TOTAL_OPER_EXPEN" hidden="1">"c20"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localSheetId="0" hidden="1">"c1293"</definedName>
    <definedName name="IQ_TOTAL_RECEIV" hidden="1">"c78"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localSheetId="0" hidden="1">"c1436"</definedName>
    <definedName name="IQ_TOTAL_REVENUE" hidden="1">"c5"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localSheetId="0" hidden="1">"c1618"</definedName>
    <definedName name="IQ_TOTAL_SPECIAL" hidden="1">"c59"</definedName>
    <definedName name="IQ_TOTAL_SQ_FT" hidden="1">"c8781"</definedName>
    <definedName name="IQ_TOTAL_ST_BORROW" localSheetId="0" hidden="1">"c1424"</definedName>
    <definedName name="IQ_TOTAL_ST_BORROW" hidden="1">"c286"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localSheetId="0" hidden="1">"c1345"</definedName>
    <definedName name="IQ_TRADE_AR" hidden="1">"c76"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localSheetId="0" hidden="1">"c1438"</definedName>
    <definedName name="IQ_TREASURY_STOCK" hidden="1">"c111"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localSheetId="0" hidden="1">"c1619"</definedName>
    <definedName name="IQ_UNREALIZED_GAIN" hidden="1">"c117"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localSheetId="0" hidden="1">"c1456"</definedName>
    <definedName name="IQ_UNUSUAL_EXP" hidden="1">"c18"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localSheetId="0" hidden="1">"c1331"</definedName>
    <definedName name="IQ_US_GAAP" hidden="1">"c34"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localSheetId="0" hidden="1">"c1620"</definedName>
    <definedName name="IQ_UTIL_PPE_NET" hidden="1">"c293"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localSheetId="0" hidden="1">"c1333"</definedName>
    <definedName name="IQ_VOLUME" hidden="1">"c199"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localSheetId="0" hidden="1">"c1334"</definedName>
    <definedName name="IQ_WEIGHTED_AVG_PRICE" hidden="1">"c255"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localSheetId="0" hidden="1">"c1337"</definedName>
    <definedName name="IQ_YEARHIGH" hidden="1">"c197"</definedName>
    <definedName name="IQ_YEARHIGH_DATE" hidden="1">"c2250"</definedName>
    <definedName name="IQ_YEARLOW" localSheetId="0" hidden="1">"c1338"</definedName>
    <definedName name="IQ_YEARLOW" hidden="1">"c198"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localSheetId="0" hidden="1">"c1339"</definedName>
    <definedName name="IQ_Z_SCORE" hidden="1">"c243"</definedName>
    <definedName name="IQB_BOOKMARK_COUNT" hidden="1">0</definedName>
    <definedName name="IQRA13" hidden="1">"$A$14:$A$16"</definedName>
    <definedName name="IQRA2" hidden="1">"$A$3:$A$6"</definedName>
    <definedName name="IQRA8" hidden="1">"$A$9:$A$1443"</definedName>
    <definedName name="IQRADTB81" hidden="1">#REF!</definedName>
    <definedName name="IQRADTD81" hidden="1">#REF!</definedName>
    <definedName name="IQRAFB81" hidden="1">#REF!</definedName>
    <definedName name="IQRAFD81" hidden="1">#REF!</definedName>
    <definedName name="IQRALOG2B81" hidden="1">#REF!</definedName>
    <definedName name="IQRALOG2D81" hidden="1">#REF!</definedName>
    <definedName name="IQRALOGB81" hidden="1">#REF!</definedName>
    <definedName name="IQRALOGD81" hidden="1">#REF!</definedName>
    <definedName name="IQRALRMB81" hidden="1">#REF!</definedName>
    <definedName name="IQRALRMD81" hidden="1">#REF!</definedName>
    <definedName name="IQRASCM2B81" hidden="1">#REF!</definedName>
    <definedName name="IQRASCM2D81" hidden="1">#REF!</definedName>
    <definedName name="IQRASCMB81" hidden="1">#REF!</definedName>
    <definedName name="IQRASCMD81" hidden="1">#REF!</definedName>
    <definedName name="IQRASEIB81" hidden="1">#REF!</definedName>
    <definedName name="IQRASEID81" hidden="1">#REF!</definedName>
    <definedName name="IQRAUTHB81" hidden="1">#REF!</definedName>
    <definedName name="IQRAUTHD81" hidden="1">#REF!</definedName>
    <definedName name="IQRAVOB81" hidden="1">#REF!</definedName>
    <definedName name="IQRAVOD81" hidden="1">#REF!</definedName>
    <definedName name="IQRAVOF81" hidden="1">#REF!</definedName>
    <definedName name="IQRAVOH81" hidden="1">#REF!</definedName>
    <definedName name="IQRAZZB81" hidden="1">#REF!</definedName>
    <definedName name="IQRAZZD81" hidden="1">#REF!</definedName>
    <definedName name="IQRB13" hidden="1">"$B$14:$B$16"</definedName>
    <definedName name="IQRB2" hidden="1">"$B$3:$B$6"</definedName>
    <definedName name="IQRB81" hidden="1">"$B$82:$B$88"</definedName>
    <definedName name="IQRC13" hidden="1">"$C$14:$C$16"</definedName>
    <definedName name="IQRC2" hidden="1">"$C$3:$C$6"</definedName>
    <definedName name="IQRC5" hidden="1">"$C$6:$C$760"</definedName>
    <definedName name="IQRC81" hidden="1">"$C$82:$C$88"</definedName>
    <definedName name="IQRCAMP2B81" hidden="1">#REF!</definedName>
    <definedName name="IQRCAMP2D81" hidden="1">#REF!</definedName>
    <definedName name="IQRCAMPB81" hidden="1">#REF!</definedName>
    <definedName name="IQRCAMPD81" hidden="1">#REF!</definedName>
    <definedName name="IQRCIRB81" hidden="1">#REF!</definedName>
    <definedName name="IQRCIRD81" hidden="1">#REF!</definedName>
    <definedName name="IQRCOHRB81" hidden="1">#REF!</definedName>
    <definedName name="IQRCOHRD81" hidden="1">#REF!</definedName>
    <definedName name="IQRCPHDB81" hidden="1">#REF!</definedName>
    <definedName name="IQRCPHDD81" hidden="1">#REF!</definedName>
    <definedName name="IQRCUBB81" hidden="1">#REF!</definedName>
    <definedName name="IQRCUBD81" hidden="1">#REF!</definedName>
    <definedName name="IQRD13" hidden="1">"$D$14:$D$16"</definedName>
    <definedName name="IQRD5" hidden="1">"$D$6:$D$761"</definedName>
    <definedName name="IQRD81" hidden="1">"$D$82:$D$88"</definedName>
    <definedName name="IQRE5" hidden="1">"$E$6:$E$761"</definedName>
    <definedName name="IQRF4" hidden="1">"$F$5"</definedName>
    <definedName name="IQRF5" hidden="1">"$F$6:$F$759"</definedName>
    <definedName name="IQRF661" hidden="1">"$F$662:$F$761"</definedName>
    <definedName name="IQRF81" hidden="1">"$F$82"</definedName>
    <definedName name="IQRFLIRB81" hidden="1">#REF!</definedName>
    <definedName name="IQRFLIRD81" hidden="1">#REF!</definedName>
    <definedName name="IQRG5" hidden="1">"$G$6:$G$761"</definedName>
    <definedName name="IQRGRMN2B81" hidden="1">#REF!</definedName>
    <definedName name="IQRGRMN2D81" hidden="1">#REF!</definedName>
    <definedName name="IQRGRMNB81" hidden="1">#REF!</definedName>
    <definedName name="IQRGRMND81" hidden="1">#REF!</definedName>
    <definedName name="IQRGSIGB81" hidden="1">#REF!</definedName>
    <definedName name="IQRGSIGD81" hidden="1">#REF!</definedName>
    <definedName name="IQRGTOB81" hidden="1">#REF!</definedName>
    <definedName name="IQRGTOD81" hidden="1">#REF!</definedName>
    <definedName name="IQRH81" hidden="1">"$H$82"</definedName>
    <definedName name="IQRIBMB81" hidden="1">#REF!</definedName>
    <definedName name="IQRIBMD81" hidden="1">#REF!</definedName>
    <definedName name="IQRIDSY2B81" hidden="1">#REF!</definedName>
    <definedName name="IQRIDSY2D81" hidden="1">#REF!</definedName>
    <definedName name="IQRIDSY3B81" hidden="1">#REF!</definedName>
    <definedName name="IQRIDSY3D81" hidden="1">#REF!</definedName>
    <definedName name="IQRIDSY4B81" hidden="1">#REF!</definedName>
    <definedName name="IQRIDSY4D81" hidden="1">#REF!</definedName>
    <definedName name="IQRIDSY5B81" hidden="1">#REF!</definedName>
    <definedName name="IQRIDSY5D81" hidden="1">#REF!</definedName>
    <definedName name="IQRIDSY6B81" hidden="1">#REF!</definedName>
    <definedName name="IQRIDSY6D81" hidden="1">#REF!</definedName>
    <definedName name="IQRIDSYB81" hidden="1">#REF!</definedName>
    <definedName name="IQRIDSYD81" hidden="1">#REF!</definedName>
    <definedName name="IQRIDSYF81" hidden="1">#REF!</definedName>
    <definedName name="IQRIDSYH81" hidden="1">#REF!</definedName>
    <definedName name="IQRIN2B81" hidden="1">#REF!</definedName>
    <definedName name="IQRIN2D81" hidden="1">#REF!</definedName>
    <definedName name="IQRINB81" hidden="1">#REF!</definedName>
    <definedName name="IQRIND81" hidden="1">#REF!</definedName>
    <definedName name="IQRINDB81" hidden="1">#REF!</definedName>
    <definedName name="IQRINDD81" hidden="1">#REF!</definedName>
    <definedName name="IQRINFB81" hidden="1">#REF!</definedName>
    <definedName name="IQRINFD81" hidden="1">#REF!</definedName>
    <definedName name="IQRIPGPB81" hidden="1">#REF!</definedName>
    <definedName name="IQRIPGPD81" hidden="1">#REF!</definedName>
    <definedName name="IQRITRNB81" hidden="1">#REF!</definedName>
    <definedName name="IQRITRND81" hidden="1">#REF!</definedName>
    <definedName name="IQRIXXB81" hidden="1">#REF!</definedName>
    <definedName name="IQRIXXD81" hidden="1">#REF!</definedName>
    <definedName name="IQRKABNB81" hidden="1">#REF!</definedName>
    <definedName name="IQRKABND81" hidden="1">#REF!</definedName>
    <definedName name="IQRKTCGB81" hidden="1">#REF!</definedName>
    <definedName name="IQRKTCGD81" hidden="1">#REF!</definedName>
    <definedName name="IQRLOXB81" hidden="1">#REF!</definedName>
    <definedName name="IQRLOXD81" hidden="1">#REF!</definedName>
    <definedName name="IQRM3" hidden="1">"$M$4:$M$7"</definedName>
    <definedName name="IQRMSA2B81" hidden="1">#REF!</definedName>
    <definedName name="IQRMSA2D81" hidden="1">#REF!</definedName>
    <definedName name="IQRMSAB81" hidden="1">#REF!</definedName>
    <definedName name="IQRMSAD81" hidden="1">#REF!</definedName>
    <definedName name="IQRN3" hidden="1">"$N$4:$N$7"</definedName>
    <definedName name="IQRNICEB81" hidden="1">#REF!</definedName>
    <definedName name="IQRNICED81" hidden="1">#REF!</definedName>
    <definedName name="IQRNMRXB81" hidden="1">#REF!</definedName>
    <definedName name="IQRNMRXD81" hidden="1">#REF!</definedName>
    <definedName name="IQRNMRXF81" hidden="1">#REF!</definedName>
    <definedName name="IQRNMRXH81" hidden="1">#REF!</definedName>
    <definedName name="IQRNXP2B81" hidden="1">#REF!</definedName>
    <definedName name="IQRNXP2D81" hidden="1">#REF!</definedName>
    <definedName name="IQRNXPB81" hidden="1">#REF!</definedName>
    <definedName name="IQRNXPD81" hidden="1">#REF!</definedName>
    <definedName name="IQROSISB81" hidden="1">#REF!</definedName>
    <definedName name="IQROSISD81" hidden="1">#REF!</definedName>
    <definedName name="IQRPNRB81" hidden="1">#REF!</definedName>
    <definedName name="IQRPNRD81" hidden="1">#REF!</definedName>
    <definedName name="IQRPOWLB81" hidden="1">#REF!</definedName>
    <definedName name="IQRPOWLD81" hidden="1">#REF!</definedName>
    <definedName name="IQRROPB81" hidden="1">#REF!</definedName>
    <definedName name="IQRROPD81" hidden="1">#REF!</definedName>
    <definedName name="IQRRSTI2B81" hidden="1">#REF!</definedName>
    <definedName name="IQRRSTI2D81" hidden="1">#REF!</definedName>
    <definedName name="IQRRSTIB81" hidden="1">#REF!</definedName>
    <definedName name="IQRRSTID81" hidden="1">#REF!</definedName>
    <definedName name="IQRRXNB81" hidden="1">#REF!</definedName>
    <definedName name="IQRRXND81" hidden="1">#REF!</definedName>
    <definedName name="IQRSTB81" hidden="1">#REF!</definedName>
    <definedName name="IQRSTD81" hidden="1">#REF!</definedName>
    <definedName name="IQRSWB81" hidden="1">#REF!</definedName>
    <definedName name="IQRSWD81" hidden="1">#REF!</definedName>
    <definedName name="IQRTLVTB81" hidden="1">#REF!</definedName>
    <definedName name="IQRTLVTD81" hidden="1">#REF!</definedName>
    <definedName name="IQRTRMBB81" hidden="1">#REF!</definedName>
    <definedName name="IQRTRMBD81" hidden="1">#REF!</definedName>
    <definedName name="IQRTYCB81" hidden="1">#REF!</definedName>
    <definedName name="IQRTYCD81" hidden="1">#REF!</definedName>
    <definedName name="IQRVIIB81" hidden="1">#REF!</definedName>
    <definedName name="IQRVIID81" hidden="1">#REF!</definedName>
    <definedName name="IQRVIVB81" hidden="1">#REF!</definedName>
    <definedName name="IQRVIVD81" hidden="1">#REF!</definedName>
    <definedName name="IQRVRNTB81" hidden="1">#REF!</definedName>
    <definedName name="IQRVRNTD81" hidden="1">#REF!</definedName>
    <definedName name="IQRVRNTF81" hidden="1">#REF!</definedName>
    <definedName name="IQRVRNTH81" hidden="1">#REF!</definedName>
    <definedName name="IQRWRLSB81" hidden="1">#REF!</definedName>
    <definedName name="IQRWRLSD81" hidden="1">#REF!</definedName>
    <definedName name="IQRWRLSF81" hidden="1">#REF!</definedName>
    <definedName name="IQRWRLSH81" hidden="1">#REF!</definedName>
    <definedName name="IQRWWDB81" hidden="1">#REF!</definedName>
    <definedName name="IQRWWDD81" hidden="1">#REF!</definedName>
    <definedName name="IQRXATAB81" hidden="1">#REF!</definedName>
    <definedName name="IQRXATAD81" hidden="1">#REF!</definedName>
    <definedName name="IQRXATAF81" hidden="1">#REF!</definedName>
    <definedName name="IQRXATAH81" hidden="1">#REF!</definedName>
    <definedName name="IQRZBRAB81" hidden="1">#REF!</definedName>
    <definedName name="IQRZBRAD81" hidden="1">#REF!</definedName>
    <definedName name="iQShowHideColumns" localSheetId="0" hidden="1">"iQShowAll"</definedName>
    <definedName name="iQShowHideColumns" hidden="1">"iQShowAnnual"</definedName>
    <definedName name="IsColHidden" hidden="1">FALSE</definedName>
    <definedName name="IsLTMColHidden" hidden="1">FALSE</definedName>
    <definedName name="ISNEEDINFO1" hidden="1">0</definedName>
    <definedName name="ISNEEDINFO2" hidden="1">"ENCODE_"</definedName>
    <definedName name="IU" localSheetId="0" hidden="1">{#N/A,#N/A,FALSE,"Performance_Products_Sold"}</definedName>
    <definedName name="IU" hidden="1">{#N/A,#N/A,FALSE,"Performance_Products_Sold"}</definedName>
    <definedName name="j" localSheetId="0" hidden="1">{#N/A,#N/A,FALSE,"Performance_Products_Sold"}</definedName>
    <definedName name="j" hidden="1">{#N/A,#N/A,FALSE,"Performance_Products_Sold"}</definedName>
    <definedName name="Janssen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eff" localSheetId="0" hidden="1">{"comps",#N/A,FALSE,"TXTCOMPS";"segment_EPS",#N/A,FALSE,"TXTCOMPS";"valuation",#N/A,FALSE,"TXTCOMPS"}</definedName>
    <definedName name="jeff" hidden="1">{"comps",#N/A,FALSE,"TXTCOMPS";"segment_EPS",#N/A,FALSE,"TXTCOMPS";"valuation",#N/A,FALSE,"TXTCOMPS"}</definedName>
    <definedName name="jh" localSheetId="0" hidden="1">{#N/A,#N/A,FALSE,"CreditStat";#N/A,#N/A,FALSE,"SPbrkup";#N/A,#N/A,FALSE,"MerSPsyn";#N/A,#N/A,FALSE,"MerSPwKCsyn";#N/A,#N/A,FALSE,"MerSPwKCsyn (2)";#N/A,#N/A,FALSE,"CreditStat (2)"}</definedName>
    <definedName name="jh" hidden="1">{#N/A,#N/A,FALSE,"CreditStat";#N/A,#N/A,FALSE,"SPbrkup";#N/A,#N/A,FALSE,"MerSPsyn";#N/A,#N/A,FALSE,"MerSPwKCsyn";#N/A,#N/A,FALSE,"MerSPwKCsyn (2)";#N/A,#N/A,FALSE,"CreditStat (2)"}</definedName>
    <definedName name="JI" localSheetId="0" hidden="1">{#N/A,#N/A,FALSE,"Performance_Products_Sold"}</definedName>
    <definedName name="JI" hidden="1">{#N/A,#N/A,FALSE,"Performance_Products_Sold"}</definedName>
    <definedName name="jj" hidden="1">{"Page 1",#N/A,FALSE,"Sheet1";"Page 2",#N/A,FALSE,"Sheet1"}</definedName>
    <definedName name="jjff" localSheetId="0" hidden="1">{#N/A,#N/A,TRUE,"Sheet2";"Admin Expense",#N/A,TRUE,"Sheet1";"Gross Profit",#N/A,TRUE,"Sheet1";"Product Support",#N/A,TRUE,"Sheet1"}</definedName>
    <definedName name="jjff" hidden="1">{#N/A,#N/A,TRUE,"Sheet2";"Admin Expense",#N/A,TRUE,"Sheet1";"Gross Profit",#N/A,TRUE,"Sheet1";"Product Support",#N/A,TRUE,"Sheet1"}</definedName>
    <definedName name="jjjj" hidden="1">{"Front Page",#N/A,FALSE,"Front and Back"}</definedName>
    <definedName name="jk" localSheetId="0" hidden="1">{"segment_EPS",#N/A,FALSE,"TXTCOMPS"}</definedName>
    <definedName name="jk" hidden="1">{"segment_EPS",#N/A,FALSE,"TXTCOMPS"}</definedName>
    <definedName name="JU" localSheetId="0" hidden="1">{#N/A,#N/A,FALSE,"Performance_Products_Sold"}</definedName>
    <definedName name="JU" hidden="1">{#N/A,#N/A,FALSE,"Performance_Products_Sold"}</definedName>
    <definedName name="k" localSheetId="0" hidden="1">{#N/A,#N/A,FALSE,"Performance_Products_Sold"}</definedName>
    <definedName name="k" hidden="1">{"'Standalone List Price Trends'!$A$1:$X$56"}</definedName>
    <definedName name="K2_WBEVMODE" hidden="1">0</definedName>
    <definedName name="Key1a" hidden="1">#REF!</definedName>
    <definedName name="Key2a" hidden="1">#REF!</definedName>
    <definedName name="KHALID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KHALID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KI" localSheetId="0" hidden="1">{#N/A,#N/A,FALSE,"Performance_Products_Sold"}</definedName>
    <definedName name="KI" hidden="1">{#N/A,#N/A,FALSE,"Performance_Products_Sold"}</definedName>
    <definedName name="kj" hidden="1">#REF!</definedName>
    <definedName name="kk" hidden="1">#REF!</definedName>
    <definedName name="KL" localSheetId="0" hidden="1">{#N/A,#N/A,FALSE,"Performance_Products_Sold"}</definedName>
    <definedName name="KL" hidden="1">{#N/A,#N/A,FALSE,"Performance_Products_Sold"}</definedName>
    <definedName name="KO" localSheetId="0" hidden="1">{"Linda Robens",#N/A,FALSE,"AM";"Robens Summary",#N/A,FALSE,"AM"}</definedName>
    <definedName name="KO" hidden="1">{"Linda Robens",#N/A,FALSE,"AM";"Robens Summary",#N/A,FALSE,"AM"}</definedName>
    <definedName name="l" localSheetId="0" hidden="1">{#N/A,#N/A,FALSE,"Performance_Products_Sold"}</definedName>
    <definedName name="l" hidden="1">{#N/A,#N/A,FALSE,"Performance_Products_Sold"}</definedName>
    <definedName name="lash" localSheetId="0" hidden="1">{#N/A,#N/A,FALSE,"Performance_Products_Sold"}</definedName>
    <definedName name="lash" hidden="1">{#N/A,#N/A,FALSE,"Performance_Products_Sold"}</definedName>
    <definedName name="LDate1" hidden="1">#REF!</definedName>
    <definedName name="LDate2" hidden="1">#REF!</definedName>
    <definedName name="Licensing" hidden="1">#REF!</definedName>
    <definedName name="limcount" hidden="1">1</definedName>
    <definedName name="List" hidden="1">#REF!</definedName>
    <definedName name="ListOffset" hidden="1">1</definedName>
    <definedName name="lklk" localSheetId="0" hidden="1">{#N/A,#N/A,FALSE,"REPORTS";#N/A,#N/A,FALSE,"Summary";#N/A,#N/A,FALSE,"salessummary";#N/A,#N/A,FALSE,"cvcmsummary";#N/A,#N/A,FALSE,"cvcm%summary"}</definedName>
    <definedName name="lklk" hidden="1">{#N/A,#N/A,FALSE,"REPORTS";#N/A,#N/A,FALSE,"Summary";#N/A,#N/A,FALSE,"salessummary";#N/A,#N/A,FALSE,"cvcmsummary";#N/A,#N/A,FALSE,"cvcm%summary"}</definedName>
    <definedName name="ll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l" hidden="1">{#N/A,#N/A,FALSE,"Aging Summary";#N/A,#N/A,FALSE,"Ratio Analysis";#N/A,#N/A,FALSE,"Test 120 Day Accts";#N/A,#N/A,FALSE,"Tickmarks"}</definedName>
    <definedName name="lllll" hidden="1">{"Geographic P1",#N/A,FALSE,"Division &amp; Geog"}</definedName>
    <definedName name="llllllllllllllllllllll" hidden="1">#REF!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drate_update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o" localSheetId="0" hidden="1">{"valuation",#N/A,FALSE,"TXTCOMPS"}</definedName>
    <definedName name="lo" hidden="1">{"valuation",#N/A,FALSE,"TXTCOMPS"}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k" localSheetId="0" hidden="1">{"segment_EPS",#N/A,FALSE,"TXTCOMPS"}</definedName>
    <definedName name="loik" hidden="1">{"segment_EPS",#N/A,FALSE,"TXTCOMPS"}</definedName>
    <definedName name="loiku" localSheetId="0" hidden="1">{"valuation",#N/A,FALSE,"TXTCOMPS"}</definedName>
    <definedName name="loiku" hidden="1">{"valuation",#N/A,FALSE,"TXTCOMPS"}</definedName>
    <definedName name="loiuy" localSheetId="0" hidden="1">{"comps",#N/A,FALSE,"TXTCOMPS"}</definedName>
    <definedName name="loiuy" hidden="1">{"comps",#N/A,FALSE,"TXTCOMPS"}</definedName>
    <definedName name="lopi" localSheetId="0" hidden="1">{"comps",#N/A,FALSE,"TXTCOMPS"}</definedName>
    <definedName name="lopi" hidden="1">{"comps",#N/A,FALSE,"TXTCOMPS"}</definedName>
    <definedName name="LP" localSheetId="0" hidden="1">{"Linda Robens",#N/A,FALSE,"AM";"Robens Summary",#N/A,FALSE,"AM"}</definedName>
    <definedName name="LP" hidden="1">{"Linda Robens",#N/A,FALSE,"AM";"Robens Summary",#N/A,FALSE,"AM"}</definedName>
    <definedName name="lynn" hidden="1">{#N/A,#N/A,FALSE,"Consolidated Financials";#N/A,#N/A,FALSE,"US Mkt";#N/A,#N/A,FALSE,"Eur Mkt"}</definedName>
    <definedName name="lynn1" hidden="1">{#N/A,#N/A,FALSE,"Inputs-Results"}</definedName>
    <definedName name="lynn2" hidden="1">{#N/A,#N/A,FALSE,"Consolidated Financials";#N/A,#N/A,FALSE,"US Mkt";#N/A,#N/A,FALSE,"Eur Mkt"}</definedName>
    <definedName name="m" localSheetId="0" hidden="1">{#N/A,#N/A,FALSE,"Performance_Products_Sold"}</definedName>
    <definedName name="m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M_PlaceofPath" hidden="1">"\\snyceqt0301\vdf$\tmp\blabla"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C" localSheetId="0" hidden="1">{"Purchase 100 Cash",#N/A,FALSE,"Deal 1";#N/A,#N/A,FALSE,"Deal 1b"}</definedName>
    <definedName name="MC" hidden="1">{"Purchase 100 Cash",#N/A,FALSE,"Deal 1";#N/A,#N/A,FALSE,"Deal 1b"}</definedName>
    <definedName name="MEWarning" hidden="1">1</definedName>
    <definedName name="mghj" localSheetId="0" hidden="1">{#N/A,#N/A,FALSE,"Performance_Products_Sold"}</definedName>
    <definedName name="mghj" hidden="1">{#N/A,#N/A,FALSE,"Performance_Products_Sold"}</definedName>
    <definedName name="mi" localSheetId="0" hidden="1">{#N/A,#N/A,FALSE,"Performance_Products_Sold"}</definedName>
    <definedName name="mi" hidden="1">{#N/A,#N/A,FALSE,"Performance_Products_Sold"}</definedName>
    <definedName name="MJ" localSheetId="0" hidden="1">{#N/A,#N/A,FALSE,"Performance_Products_Sold"}</definedName>
    <definedName name="MJ" hidden="1">{#N/A,#N/A,FALSE,"Performance_Products_Sold"}</definedName>
    <definedName name="mk" localSheetId="0" hidden="1">{#N/A,#N/A,FALSE,"Performance_Products_Sold"}</definedName>
    <definedName name="mk" hidden="1">{#N/A,#N/A,FALSE,"Performance_Products_Sold"}</definedName>
    <definedName name="MN" localSheetId="0" hidden="1">{#N/A,#N/A,FALSE,"Performance_Products_Sold"}</definedName>
    <definedName name="MN" hidden="1">{#N/A,#N/A,FALSE,"Performance_Products_Sold"}</definedName>
    <definedName name="Month2Code_Look" hidden="1">#REF!</definedName>
    <definedName name="monthly" hidden="1">{"Monthly",#N/A,FALSE,"1.2"}</definedName>
    <definedName name="MOS_Look" hidden="1">#REF!</definedName>
    <definedName name="MOut" localSheetId="0" hidden="1">{"CSC_1",#N/A,FALSE,"CSC Outputs";"CSC_2",#N/A,FALSE,"CSC Outputs"}</definedName>
    <definedName name="MOut" hidden="1">{"CSC_1",#N/A,FALSE,"CSC Outputs";"CSC_2",#N/A,FALSE,"CSC Outputs"}</definedName>
    <definedName name="myu" localSheetId="0" hidden="1">{"Linda Robens",#N/A,FALSE,"AM";"Robens Summary",#N/A,FALSE,"AM"}</definedName>
    <definedName name="myu" hidden="1">{"Linda Robens",#N/A,FALSE,"AM";"Robens Summary",#N/A,FALSE,"AM"}</definedName>
    <definedName name="n" hidden="1">{"Page 1",#N/A,FALSE,"Sheet1";"Page 2",#N/A,FALSE,"Sheet1"}</definedName>
    <definedName name="name" localSheetId="0" hidden="1">{#N/A,#N/A,FALSE,"Performance_Products_Sold"}</definedName>
    <definedName name="name" hidden="1">{#N/A,#N/A,FALSE,"Performance_Products_Sold"}</definedName>
    <definedName name="NB" localSheetId="0" hidden="1">{#N/A,#N/A,FALSE,"Performance_Products_Sold"}</definedName>
    <definedName name="NB" hidden="1">{#N/A,#N/A,FALSE,"Performance_Products_Sold"}</definedName>
    <definedName name="ne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bp1" hidden="1">{#N/A,#N/A,FALSE,"ACQ_GRAPHS";#N/A,#N/A,FALSE,"T_1 GRAPHS";#N/A,#N/A,FALSE,"T_2 GRAPHS";#N/A,#N/A,FALSE,"COMB_GRAPHS"}</definedName>
    <definedName name="NH" localSheetId="0" hidden="1">{"Linda Robens",#N/A,FALSE,"AM";"Robens Summary",#N/A,FALSE,"AM"}</definedName>
    <definedName name="NH" hidden="1">{"Linda Robens",#N/A,FALSE,"AM";"Robens Summary",#N/A,FALSE,"AM"}</definedName>
    <definedName name="nj" localSheetId="0" hidden="1">{#N/A,#N/A,FALSE,"Performance_Products_Sold"}</definedName>
    <definedName name="nj" hidden="1">{#N/A,#N/A,FALSE,"Performance_Products_Sold"}</definedName>
    <definedName name="NO" localSheetId="0" hidden="1">{"Rank View 1",#N/A,FALSE,"Forecast Model";"Rank View 2",#N/A,FALSE,"Forecast Model"}</definedName>
    <definedName name="NO" hidden="1">{"Rank View 1",#N/A,FALSE,"Forecast Model";"Rank View 2",#N/A,FALSE,"Forecast Model"}</definedName>
    <definedName name="none" localSheetId="0" hidden="1">{#N/A,#N/A,FALSE,"1996 labor";#N/A,#N/A,FALSE,"1996 CASH FLOWS"}</definedName>
    <definedName name="none" hidden="1">{#N/A,#N/A,FALSE,"1996 labor";#N/A,#N/A,FALSE,"1996 CASH FLOWS"}</definedName>
    <definedName name="NonRetail_Look" hidden="1">#REF!</definedName>
    <definedName name="nope" localSheetId="0" hidden="1">{#N/A,#N/A,TRUE,"Sheet2";"Admin Expense",#N/A,TRUE,"Sheet1";"Gross Profit",#N/A,TRUE,"Sheet1";"Product Support",#N/A,TRUE,"Sheet1"}</definedName>
    <definedName name="nope" hidden="1">{#N/A,#N/A,TRUE,"Sheet2";"Admin Expense",#N/A,TRUE,"Sheet1";"Gross Profit",#N/A,TRUE,"Sheet1";"Product Support",#N/A,TRUE,"Sheet1"}</definedName>
    <definedName name="ny" localSheetId="0" hidden="1">{#N/A,#N/A,FALSE,"Performance_Products_Sold"}</definedName>
    <definedName name="ny" hidden="1">{#N/A,#N/A,FALSE,"Performance_Products_Sold"}</definedName>
    <definedName name="o" localSheetId="0" hidden="1">{"Linda Robens",#N/A,FALSE,"AM";"Robens Summary",#N/A,FALSE,"AM"}</definedName>
    <definedName name="o" hidden="1">{#N/A,#N/A,FALSE,"New Depr Sch-150% DB";#N/A,#N/A,FALSE,"Cash Flows RLP";#N/A,#N/A,FALSE,"IRR";#N/A,#N/A,FALSE,"Proforma IS";#N/A,#N/A,FALSE,"Assumptions"}</definedName>
    <definedName name="op" localSheetId="0" hidden="1">{#N/A,#N/A,FALSE,"Performance_Products_Sold"}</definedName>
    <definedName name="op" hidden="1">{#N/A,#N/A,FALSE,"Performance_Products_Sold"}</definedName>
    <definedName name="OrderTable" hidden="1">#REF!</definedName>
    <definedName name="p" hidden="1">{"Page 1",#N/A,FALSE,"Sheet1";"Page 2",#N/A,FALSE,"Sheet1"}</definedName>
    <definedName name="Pal_Workbook_GUID" hidden="1">"JSQFNCJ1FH1BPWMCBAP43C6J"</definedName>
    <definedName name="Ped_SCD" hidden="1">{"balance sheet ex",#N/A,FALSE,"Bal. Sht.- Work Cap"}</definedName>
    <definedName name="PITTWAY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o" localSheetId="0" hidden="1">{"Linda Robens",#N/A,FALSE,"AM";"Robens Summary",#N/A,FALSE,"AM"}</definedName>
    <definedName name="po" hidden="1">{"Linda Robens",#N/A,FALSE,"AM";"Robens Summary",#N/A,FALSE,"AM"}</definedName>
    <definedName name="pouy" localSheetId="0" hidden="1">{"segment_EPS",#N/A,FALSE,"TXTCOMPS"}</definedName>
    <definedName name="pouy" hidden="1">{"segment_EPS",#N/A,FALSE,"TXTCOMPS"}</definedName>
    <definedName name="PriceFactorACQvAWP" hidden="1">#REF!</definedName>
    <definedName name="PriceFactorASPvACQ" hidden="1">#REF!</definedName>
    <definedName name="PriceFactorASPvAWP" hidden="1">#REF!</definedName>
    <definedName name="Print_CSC_Report_2" localSheetId="0" hidden="1">{"CSC_1",#N/A,FALSE,"CSC Outputs";"CSC_2",#N/A,FALSE,"CSC Outputs"}</definedName>
    <definedName name="Print_CSC_Report_2" hidden="1">{"CSC_1",#N/A,FALSE,"CSC Outputs";"CSC_2",#N/A,FALSE,"CSC Outputs"}</definedName>
    <definedName name="PRN_1" hidden="1">#REF!</definedName>
    <definedName name="PRN_10" hidden="1">#REF!</definedName>
    <definedName name="PRN_11" hidden="1">#REF!</definedName>
    <definedName name="PRN_12" hidden="1">#REF!</definedName>
    <definedName name="PRN_13" hidden="1">#REF!</definedName>
    <definedName name="PRN_14" hidden="1">#REF!</definedName>
    <definedName name="PRN_15" hidden="1">#REF!</definedName>
    <definedName name="PRN_16" hidden="1">#REF!</definedName>
    <definedName name="PRN_2" hidden="1">#REF!</definedName>
    <definedName name="PRN_3" hidden="1">#REF!</definedName>
    <definedName name="PRN_4" hidden="1">#REF!</definedName>
    <definedName name="PRN_5" hidden="1">#REF!</definedName>
    <definedName name="PRN_6" hidden="1">#REF!</definedName>
    <definedName name="PRN_7" hidden="1">#REF!</definedName>
    <definedName name="PRN_8" hidden="1">#REF!</definedName>
    <definedName name="PRN_9" hidden="1">#REF!</definedName>
    <definedName name="ProdForm" hidden="1">#REF!</definedName>
    <definedName name="Product" hidden="1">#REF!</definedName>
    <definedName name="PUB_UserID" hidden="1">"MAYERX"</definedName>
    <definedName name="q" localSheetId="0" hidden="1">{#N/A,#N/A,FALSE,"Performance_Products_Sold"}</definedName>
    <definedName name="q" hidden="1">{#N/A,#N/A,FALSE,"Performance_Products_Sold"}</definedName>
    <definedName name="qa" localSheetId="0" hidden="1">{"comps",#N/A,FALSE,"TXTCOMPS";"segment_EPS",#N/A,FALSE,"TXTCOMPS";"valuation",#N/A,FALSE,"TXTCOMPS"}</definedName>
    <definedName name="qa" hidden="1">{"comps",#N/A,FALSE,"TXTCOMPS";"segment_EPS",#N/A,FALSE,"TXTCOMPS";"valuation",#N/A,FALSE,"TXTCOMPS"}</definedName>
    <definedName name="qd" localSheetId="0" hidden="1">{"comps",#N/A,FALSE,"TXTCOMPS"}</definedName>
    <definedName name="qd" hidden="1">{"comps",#N/A,FALSE,"TXTCOMPS"}</definedName>
    <definedName name="qf" localSheetId="0" hidden="1">{"segment_EPS",#N/A,FALSE,"TXTCOMPS"}</definedName>
    <definedName name="qf" hidden="1">{"segment_EPS",#N/A,FALSE,"TXTCOMPS"}</definedName>
    <definedName name="qg" localSheetId="0" hidden="1">{"valuation",#N/A,FALSE,"TXTCOMPS"}</definedName>
    <definedName name="qg" hidden="1">{"valuation",#N/A,FALSE,"TXTCOMPS"}</definedName>
    <definedName name="qs" localSheetId="0" hidden="1">{"valuation",#N/A,FALSE,"TXTCOMPS"}</definedName>
    <definedName name="qs" hidden="1">{"valuation",#N/A,FALSE,"TXTCOMPS"}</definedName>
    <definedName name="quarterly" localSheetId="0" hidden="1">{#N/A,#N/A,FALSE,"Performance_Products_Sold"}</definedName>
    <definedName name="quarterly" hidden="1">{#N/A,#N/A,FALSE,"Performance_Products_Sold"}</definedName>
    <definedName name="qw" localSheetId="0" hidden="1">{#N/A,#N/A,FALSE,"Performance_Products_Sold"}</definedName>
    <definedName name="qw" hidden="1">{#N/A,#N/A,FALSE,"Performance_Products_Sold"}</definedName>
    <definedName name="RAFactor_Look" hidden="1">#REF!</definedName>
    <definedName name="rap" hidden="1">{"Page 1",#N/A,FALSE,"Sheet1";"Page 2",#N/A,FALSE,"Sheet1"}</definedName>
    <definedName name="RCArea" hidden="1">#REF!</definedName>
    <definedName name="RDArea" hidden="1">#REF!</definedName>
    <definedName name="RE" localSheetId="0" hidden="1">{#N/A,#N/A,FALSE,"Performance_Products_Sold"}</definedName>
    <definedName name="RE" hidden="1">{#N/A,#N/A,FALSE,"Performance_Products_Sold"}</definedName>
    <definedName name="redo" hidden="1">{#N/A,#N/A,FALSE,"ACQ_GRAPHS";#N/A,#N/A,FALSE,"T_1 GRAPHS";#N/A,#N/A,FALSE,"T_2 GRAPHS";#N/A,#N/A,FALSE,"COMB_GRAPHS"}</definedName>
    <definedName name="RefillRate_Look" hidden="1">#REF!</definedName>
    <definedName name="resss" localSheetId="0" hidden="1">{"comps",#N/A,FALSE,"TXTCOMPS";"segment_EPS",#N/A,FALSE,"TXTCOMPS";"valuation",#N/A,FALSE,"TXTCOMPS"}</definedName>
    <definedName name="resss" hidden="1">{"comps",#N/A,FALSE,"TXTCOMPS";"segment_EPS",#N/A,FALSE,"TXTCOMPS";"valuation",#N/A,FALSE,"TXTCOMPS"}</definedName>
    <definedName name="reV" hidden="1">{"ENBREL",#N/A,FALSE,"Sheet1";"RenaGel",#N/A,FALSE,"Sheet1";"HIV PI",#N/A,FALSE,"Sheet1";"MS",#N/A,FALSE,"Sheet1"}</definedName>
    <definedName name="RevlimidRevised" hidden="1">{"ENBREL",#N/A,FALSE,"Sheet1";"RenaGel",#N/A,FALSE,"Sheet1";"HIV PI",#N/A,FALSE,"Sheet1";"MS",#N/A,FALSE,"Sheet1"}</definedName>
    <definedName name="rfa" localSheetId="0" hidden="1">{"sales",#N/A,FALSE,"Sales";"sales existing",#N/A,FALSE,"Sales";"sales rd1",#N/A,FALSE,"Sales";"sales rd2",#N/A,FALSE,"Sales"}</definedName>
    <definedName name="rfa" hidden="1">{"sales",#N/A,FALSE,"Sales";"sales existing",#N/A,FALSE,"Sales";"sales rd1",#N/A,FALSE,"Sales";"sales rd2",#N/A,FALSE,"Sales"}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0" hidden="1">5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0" hidden="1">20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localSheetId="0" hidden="1">2</definedName>
    <definedName name="RiskStandardRecalc" hidden="1">1</definedName>
    <definedName name="RiskSwapState" hidden="1">FALSE</definedName>
    <definedName name="RiskUpdateDisplay" localSheetId="0" hidden="1">TRUE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.CSC." localSheetId="0" hidden="1">{"Output",#N/A,FALSE,"Output"}</definedName>
    <definedName name="rn.CSC." hidden="1">{"Output",#N/A,FALSE,"Output"}</definedName>
    <definedName name="rngCopyFormulasSource" hidden="1">#REF!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rr" localSheetId="0" hidden="1">{#N/A,#N/A,FALSE,"REPORTS";#N/A,#N/A,FALSE,"Summary";#N/A,#N/A,FALSE,"salessummary";#N/A,#N/A,FALSE,"cvcmsummary";#N/A,#N/A,FALSE,"cvcm%summary"}</definedName>
    <definedName name="rrr" hidden="1">{#N/A,#N/A,FALSE,"REPORTS";#N/A,#N/A,FALSE,"Summary";#N/A,#N/A,FALSE,"salessummary";#N/A,#N/A,FALSE,"cvcmsummary";#N/A,#N/A,FALSE,"cvcm%summary"}</definedName>
    <definedName name="rrrrrrrrrrr" hidden="1">#REF!</definedName>
    <definedName name="RT" localSheetId="0" hidden="1">{"segment_EPS",#N/A,FALSE,"TXTCOMPS"}</definedName>
    <definedName name="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w" hidden="1">{"'Standalone List Price Trends'!$A$1:$X$56"}</definedName>
    <definedName name="rwrwr" hidden="1">{"'Standalone List Price Trends'!$A$1:$X$56"}</definedName>
    <definedName name="rwrwrwrwr" hidden="1">{"'Standalone List Price Trends'!$A$1:$X$56"}</definedName>
    <definedName name="Rwvu.Sumnpv." hidden="1">#REF!</definedName>
    <definedName name="rwwr" hidden="1">{"'Standalone List Price Trends'!$A$1:$X$56"}</definedName>
    <definedName name="RxSize_Look" hidden="1">#REF!</definedName>
    <definedName name="sale" localSheetId="0" hidden="1">{#N/A,#N/A,FALSE,"REPORTS";#N/A,#N/A,FALSE,"Summary";#N/A,#N/A,FALSE,"salessummary";#N/A,#N/A,FALSE,"cvcmsummary";#N/A,#N/A,FALSE,"cvcm%summary"}</definedName>
    <definedName name="sale" hidden="1">{#N/A,#N/A,FALSE,"REPORTS";#N/A,#N/A,FALSE,"Summary";#N/A,#N/A,FALSE,"salessummary";#N/A,#N/A,FALSE,"cvcmsummary";#N/A,#N/A,FALSE,"cvcm%summary"}</definedName>
    <definedName name="SAPBEXdnldView" hidden="1">"47GKJ0PSJXNELWMKW1KD1G9BU"</definedName>
    <definedName name="SAPBEXhrIndnt" localSheetId="0" hidden="1">2</definedName>
    <definedName name="SAPBEXhrIndnt" hidden="1">1</definedName>
    <definedName name="SAPBEXrevision" localSheetId="0" hidden="1">1</definedName>
    <definedName name="SAPBEXrevision" hidden="1">2</definedName>
    <definedName name="SAPBEXsysID" localSheetId="0" hidden="1">"P84"</definedName>
    <definedName name="SAPBEXsysID" hidden="1">"IWP"</definedName>
    <definedName name="SAPBEXwbID" localSheetId="0" hidden="1">"49T3TINRTTI41FG9MTJEJ6O5G"</definedName>
    <definedName name="SAPBEXwbID" hidden="1">"6NE0F8U05TYO902JO27NLX6E1"</definedName>
    <definedName name="SAPFuncF4Help" localSheetId="0" hidden="1">Main.SAPF4Help()</definedName>
    <definedName name="SAPFuncF4Help" hidden="1">Main.SAPF4Help()</definedName>
    <definedName name="sc" hidden="1">{"Page 1",#N/A,FALSE,"Sheet1";"Page 2",#N/A,FALSE,"Sheet1"}</definedName>
    <definedName name="sd" localSheetId="0" hidden="1">{"Linda Robens",#N/A,FALSE,"AM";"Robens Summary",#N/A,FALSE,"AM"}</definedName>
    <definedName name="sd" hidden="1">{"Linda Robens",#N/A,FALSE,"AM";"Robens Summary",#N/A,FALSE,"AM"}</definedName>
    <definedName name="sdad" hidden="1">#REF!</definedName>
    <definedName name="SDD" localSheetId="0" hidden="1">{#N/A,#N/A,FALSE,"Performance_Products_Sold"}</definedName>
    <definedName name="SDD" hidden="1">{#N/A,#N/A,FALSE,"Performance_Products_Sold"}</definedName>
    <definedName name="sdddd" hidden="1">#REF!</definedName>
    <definedName name="sdfds" hidden="1">{"'Standalone List Price Trends'!$A$1:$X$56"}</definedName>
    <definedName name="sdfg" hidden="1">#REF!</definedName>
    <definedName name="sdfsda" localSheetId="0" hidden="1">{"standalone1",#N/A,FALSE,"DCFBase";"standalone2",#N/A,FALSE,"DCFBase"}</definedName>
    <definedName name="sdfsda" hidden="1">{"standalone1",#N/A,FALSE,"DCFBase";"standalone2",#N/A,FALSE,"DCFBase"}</definedName>
    <definedName name="sdfsdfsd" localSheetId="0" hidden="1">{#N/A,#N/A,FALSE,"REPORTS";#N/A,#N/A,FALSE,"Summary";#N/A,#N/A,FALSE,"salessummary";#N/A,#N/A,FALSE,"cvcmsummary";#N/A,#N/A,FALSE,"cvcm%summary"}</definedName>
    <definedName name="sdfsdfsd" hidden="1">{#N/A,#N/A,FALSE,"REPORTS";#N/A,#N/A,FALSE,"Summary";#N/A,#N/A,FALSE,"salessummary";#N/A,#N/A,FALSE,"cvcmsummary";#N/A,#N/A,FALSE,"cvcm%summary"}</definedName>
    <definedName name="sdsds" hidden="1">{"PR1","pr1",TRUE,"Sch PR-1"}</definedName>
    <definedName name="sdsf" localSheetId="0" hidden="1">{#N/A,#N/A,FALSE,"Performance_Products_Sold"}</definedName>
    <definedName name="sdsf" hidden="1">{#N/A,#N/A,FALSE,"Performance_Products_Sold"}</definedName>
    <definedName name="se" localSheetId="0" hidden="1">{#N/A,#N/A,FALSE,"REPORTS";#N/A,#N/A,FALSE,"Summary";#N/A,#N/A,FALSE,"salessummary";#N/A,#N/A,FALSE,"cvcmsummary";#N/A,#N/A,FALSE,"cvcm%summary"}</definedName>
    <definedName name="se" hidden="1">{#N/A,#N/A,FALSE,"REPORTS";#N/A,#N/A,FALSE,"Summary";#N/A,#N/A,FALSE,"salessummary";#N/A,#N/A,FALSE,"cvcmsummary";#N/A,#N/A,FALSE,"cvcm%summary"}</definedName>
    <definedName name="Seasonal_Look" hidden="1">#REF!</definedName>
    <definedName name="Sec" localSheetId="0" hidden="1">{"Rank View 1",#N/A,FALSE,"Forecast Model";"Rank View 2",#N/A,FALSE,"Forecast Model"}</definedName>
    <definedName name="Sec" hidden="1">{"Rank View 1",#N/A,FALSE,"Forecast Model";"Rank View 2",#N/A,FALSE,"Forecast Model"}</definedName>
    <definedName name="seg" localSheetId="0" hidden="1">{"segment_EPS",#N/A,FALSE,"TXTCOMPS"}</definedName>
    <definedName name="seg" hidden="1">{"segment_EPS",#N/A,FALSE,"TXTCOMPS"}</definedName>
    <definedName name="Seg_LBO_Summ" hidden="1">{"LBO Summary",#N/A,FALSE,"Summary"}</definedName>
    <definedName name="sencount" hidden="1">1</definedName>
    <definedName name="sfdg" localSheetId="0" hidden="1">{#N/A,#N/A,FALSE,"A&amp;E";#N/A,#N/A,FALSE,"HighTop";#N/A,#N/A,FALSE,"JG";#N/A,#N/A,FALSE,"RI";#N/A,#N/A,FALSE,"woHT";#N/A,#N/A,FALSE,"woHT&amp;JG"}</definedName>
    <definedName name="sfdg" hidden="1">{#N/A,#N/A,FALSE,"A&amp;E";#N/A,#N/A,FALSE,"HighTop";#N/A,#N/A,FALSE,"JG";#N/A,#N/A,FALSE,"RI";#N/A,#N/A,FALSE,"woHT";#N/A,#N/A,FALSE,"woHT&amp;JG"}</definedName>
    <definedName name="sgagaga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sgagaga" hidden="1">{#N/A,#N/A,FALSE,"Antony Financials";#N/A,#N/A,FALSE,"Cowboy Financials";#N/A,#N/A,FALSE,"Combined";#N/A,#N/A,FALSE,"Valuematrix";#N/A,#N/A,FALSE,"DCFAntony";#N/A,#N/A,FALSE,"DCFCowboy";#N/A,#N/A,FALSE,"DCFCombined"}</definedName>
    <definedName name="ShipFactor_Look" hidden="1">#REF!</definedName>
    <definedName name="shit" localSheetId="0" hidden="1">{#N/A,#N/A,FALSE,"CreditStat";#N/A,#N/A,FALSE,"SPbrkup";#N/A,#N/A,FALSE,"MerSPsyn";#N/A,#N/A,FALSE,"MerSPwKCsyn";#N/A,#N/A,FALSE,"MerSPwKCsyn (2)";#N/A,#N/A,FALSE,"CreditStat (2)"}</definedName>
    <definedName name="shit" hidden="1">{#N/A,#N/A,FALSE,"CreditStat";#N/A,#N/A,FALSE,"SPbrkup";#N/A,#N/A,FALSE,"MerSPsyn";#N/A,#N/A,FALSE,"MerSPwKCsyn";#N/A,#N/A,FALSE,"MerSPwKCsyn (2)";#N/A,#N/A,FALSE,"CreditStat (2)"}</definedName>
    <definedName name="sk" localSheetId="0" hidden="1">{#N/A,#N/A,FALSE,"A&amp;E";#N/A,#N/A,FALSE,"HighTop";#N/A,#N/A,FALSE,"JG";#N/A,#N/A,FALSE,"RI";#N/A,#N/A,FALSE,"woHT";#N/A,#N/A,FALSE,"woHT&amp;JG"}</definedName>
    <definedName name="sk" hidden="1">{#N/A,#N/A,FALSE,"A&amp;E";#N/A,#N/A,FALSE,"HighTop";#N/A,#N/A,FALSE,"JG";#N/A,#N/A,FALSE,"RI";#N/A,#N/A,FALSE,"woHT";#N/A,#N/A,FALSE,"woHT&amp;JG"}</definedName>
    <definedName name="Slope1" hidden="1">#REF!</definedName>
    <definedName name="Slope2" hidden="1">#REF!</definedName>
    <definedName name="sold" localSheetId="0" hidden="1">{#N/A,#N/A,FALSE,"Performance_Products_Sold"}</definedName>
    <definedName name="sold" hidden="1">{#N/A,#N/A,FALSE,"Performance_Products_Sold"}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localSheetId="0" hidden="1">0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el10" hidden="1">1</definedName>
    <definedName name="solver_rel11" hidden="1">3</definedName>
    <definedName name="solver_rel2" hidden="1">2</definedName>
    <definedName name="solver_rel3" hidden="1">2</definedName>
    <definedName name="solver_rel4" hidden="1">2</definedName>
    <definedName name="solver_rel5" hidden="1">1</definedName>
    <definedName name="solver_rel6" hidden="1">3</definedName>
    <definedName name="solver_rel7" hidden="1">2</definedName>
    <definedName name="solver_rel8" hidden="1">1</definedName>
    <definedName name="solver_rel9" hidden="1">3</definedName>
    <definedName name="solver_rhs1" hidden="1">100</definedName>
    <definedName name="solver_rhs2" hidden="1">0</definedName>
    <definedName name="solver_rhs3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localSheetId="0" hidden="1">1500000</definedName>
    <definedName name="solver_val" hidden="1">1053</definedName>
    <definedName name="something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rt1" hidden="1">#REF!</definedName>
    <definedName name="SpecialPrice" hidden="1">#REF!</definedName>
    <definedName name="spoc" hidden="1">{"Page 1",#N/A,FALSE,"Sheet1";"Page 2",#N/A,FALSE,"Sheet1"}</definedName>
    <definedName name="sss" localSheetId="0" hidden="1">{#N/A,#N/A,FALSE,"REPORTS";#N/A,#N/A,FALSE,"Summary";#N/A,#N/A,FALSE,"salessummary";#N/A,#N/A,FALSE,"cvcmsummary";#N/A,#N/A,FALSE,"cvcm%summary"}</definedName>
    <definedName name="sss" hidden="1">{#N/A,#N/A,FALSE,"REPORTS";#N/A,#N/A,FALSE,"Summary";#N/A,#N/A,FALSE,"salessummary";#N/A,#N/A,FALSE,"cvcmsummary";#N/A,#N/A,FALSE,"cvcm%summary"}</definedName>
    <definedName name="ssss" hidden="1">{"P and L",#N/A,FALSE,"Financial Output";"Cashflow",#N/A,FALSE,"Financial Output";"Balance Sheet",#N/A,FALSE,"Financial Output"}</definedName>
    <definedName name="sssss" hidden="1">#REF!</definedName>
    <definedName name="ssssss" hidden="1">#REF!</definedName>
    <definedName name="sssssss" hidden="1">{"PR1","pr1",TRUE,"Sch PR-1"}</definedName>
    <definedName name="ssssssss" localSheetId="0" hidden="1">{#N/A,#N/A,FALSE,"REPORTS";#N/A,#N/A,FALSE,"Summary";#N/A,#N/A,FALSE,"salessummary";#N/A,#N/A,FALSE,"cvcmsummary";#N/A,#N/A,FALSE,"cvcm%summary"}</definedName>
    <definedName name="ssssssss" hidden="1">{#N/A,#N/A,FALSE,"REPORTS";#N/A,#N/A,FALSE,"Summary";#N/A,#N/A,FALSE,"salessummary";#N/A,#N/A,FALSE,"cvcmsummary";#N/A,#N/A,FALSE,"cvcm%summary"}</definedName>
    <definedName name="StartFcstDate" hidden="1">#REF!</definedName>
    <definedName name="Stocking_Look" hidden="1">#REF!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onthly_Look" hidden="1">#REF!</definedName>
    <definedName name="SumYearly_Look" hidden="1">#REF!</definedName>
    <definedName name="SV_AUTO_CONN_CATALOG" hidden="1">"CHCDAT"</definedName>
    <definedName name="SV_AUTO_CONN_SERVER" hidden="1">"CMSQL"</definedName>
    <definedName name="SV_ENCPT_AUTO_CONN_PASSWORD" hidden="1">"083096084083070078065115102087068116051051"</definedName>
    <definedName name="SV_ENCPT_AUTO_CONN_USER" hidden="1">"095094088070084121098"</definedName>
    <definedName name="SV_ENCPT_LOGON_PWD" hidden="1">"078104085088070"</definedName>
    <definedName name="SV_ENCPT_LOGON_USER" hidden="1">"095094088070084074066087071066"</definedName>
    <definedName name="SW" localSheetId="0" hidden="1">{#N/A,#N/A,FALSE,"Performance_Products_Sold"}</definedName>
    <definedName name="SW" hidden="1">{#N/A,#N/A,FALSE,"Performance_Products_Sold"}</definedName>
    <definedName name="Swvu.Annual." hidden="1">#N/A</definedName>
    <definedName name="Swvu.BiPolar." hidden="1">#REF!</definedName>
    <definedName name="Swvu.Quarterly." hidden="1">#N/A</definedName>
    <definedName name="Swvu.Quarterlycompare." hidden="1">#N/A</definedName>
    <definedName name="Swvu.Sumnpv." hidden="1">#REF!</definedName>
    <definedName name="t" localSheetId="0" hidden="1">{#N/A,#N/A,FALSE,"Performance_Products_Sold"}</definedName>
    <definedName name="t" hidden="1">{"'Sheet1'!$A$1:$H$96"}</definedName>
    <definedName name="table" localSheetId="0" hidden="1">{"sales",#N/A,FALSE,"Sales";"sales existing",#N/A,FALSE,"Sales";"sales rd1",#N/A,FALSE,"Sales";"sales rd2",#N/A,FALSE,"Sales"}</definedName>
    <definedName name="table" hidden="1">{"sales",#N/A,FALSE,"Sales";"sales existing",#N/A,FALSE,"Sales";"sales rd1",#N/A,FALSE,"Sales";"sales rd2",#N/A,FALSE,"Sales"}</definedName>
    <definedName name="table0001" hidden="1">#REF!</definedName>
    <definedName name="table0002" hidden="1">#REF!</definedName>
    <definedName name="Tables" localSheetId="0" hidden="1">{"sales",#N/A,FALSE,"Sales";"sales existing",#N/A,FALSE,"Sales";"sales rd1",#N/A,FALSE,"Sales";"sales rd2",#N/A,FALSE,"Sales"}</definedName>
    <definedName name="Tables" hidden="1">{"sales",#N/A,FALSE,"Sales";"sales existing",#N/A,FALSE,"Sales";"sales rd1",#N/A,FALSE,"Sales";"sales rd2",#N/A,FALSE,"Sales"}</definedName>
    <definedName name="tbl_ProdInfo" hidden="1">#REF!</definedName>
    <definedName name="temp" localSheetId="0" hidden="1">{#N/A,#N/A,FALSE,"REPORTS";#N/A,#N/A,FALSE,"Summary";#N/A,#N/A,FALSE,"salessummary";#N/A,#N/A,FALSE,"cvcmsummary";#N/A,#N/A,FALSE,"cvcm%summary"}</definedName>
    <definedName name="temp" hidden="1">{#N/A,#N/A,FALSE,"REPORTS";#N/A,#N/A,FALSE,"Summary";#N/A,#N/A,FALSE,"salessummary";#N/A,#N/A,FALSE,"cvcmsummary";#N/A,#N/A,FALSE,"cvcm%summary"}</definedName>
    <definedName name="test" localSheetId="0" hidden="1">{#N/A,#N/A,FALSE,"Performance_Products_Sold"}</definedName>
    <definedName name="TEST" hidden="1">{#N/A,#N/A,FALSE,"Inputs-Results"}</definedName>
    <definedName name="TEST_1" localSheetId="0" hidden="1">{#N/A,#N/A,FALSE,"Inputs-Results"}</definedName>
    <definedName name="TEST_1" hidden="1">{#N/A,#N/A,FALSE,"Inputs-Results"}</definedName>
    <definedName name="test1" localSheetId="0" hidden="1">{#N/A,#N/A,TRUE,"MAIN FT TERM";#N/A,#N/A,TRUE,"MCI  FT TERM ";#N/A,#N/A,TRUE,"OC12 EQV"}</definedName>
    <definedName name="TEST1" hidden="1">{#N/A,#N/A,FALSE,"Consolidated Financials";#N/A,#N/A,FALSE,"US Mkt";#N/A,#N/A,FALSE,"Eur Mkt"}</definedName>
    <definedName name="TEST1_1" localSheetId="0" hidden="1">{#N/A,#N/A,FALSE,"Consolidated Financials";#N/A,#N/A,FALSE,"US Mkt";#N/A,#N/A,FALSE,"Eur Mkt"}</definedName>
    <definedName name="TEST1_1" hidden="1">{#N/A,#N/A,FALSE,"Consolidated Financials";#N/A,#N/A,FALSE,"US Mkt";#N/A,#N/A,FALSE,"Eur Mkt"}</definedName>
    <definedName name="test2" localSheetId="0" hidden="1">{#N/A,#N/A,FALSE,"Performance_Products_Sold"}</definedName>
    <definedName name="test2" hidden="1">{"Page 1",#N/A,FALSE,"Sheet1";"Page 2",#N/A,FALSE,"Sheet1"}</definedName>
    <definedName name="testpage" hidden="1">{"Page 1",#N/A,FALSE,"Sheet1";"Page 2",#N/A,FALSE,"Sheet1"}</definedName>
    <definedName name="TextRefCopyRangeCount" hidden="1">6</definedName>
    <definedName name="tghj" localSheetId="0" hidden="1">{#N/A,#N/A,FALSE,"Performance_Products_Sold"}</definedName>
    <definedName name="tghj" hidden="1">{#N/A,#N/A,FALSE,"Performance_Products_Sold"}</definedName>
    <definedName name="THALREVISED" hidden="1">{"ENBREL",#N/A,FALSE,"Sheet1";"RenaGel",#N/A,FALSE,"Sheet1";"HIV PI",#N/A,FALSE,"Sheet1";"MS",#N/A,FALSE,"Sheet1"}</definedName>
    <definedName name="Tigr_Exhibit69f3a19c_6a28_4c16_bbc5_4c17ddc27e12" hidden="1">#REF!</definedName>
    <definedName name="TR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R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reeList" localSheetId="0" hidden="1">"00000000000000000000000000000000000000000000000000000000000000000000000000000000000000000000000000000000000000000000000000000000000000000000000000000000000000000000000000000000000000000000000000000000"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rend" localSheetId="0" hidden="1">{#N/A,#N/A,FALSE,"1996 labor";#N/A,#N/A,FALSE,"1996 CASH FLOWS"}</definedName>
    <definedName name="trend" hidden="1">{#N/A,#N/A,FALSE,"Aging Summary";#N/A,#N/A,FALSE,"Ratio Analysis";#N/A,#N/A,FALSE,"Test 120 Day Accts";#N/A,#N/A,FALSE,"Tickmarks"}</definedName>
    <definedName name="trs" localSheetId="0" hidden="1">{#N/A,#N/A,FALSE,"CONTRIB"}</definedName>
    <definedName name="trs" hidden="1">{#N/A,#N/A,FALSE,"CONTRIB"}</definedName>
    <definedName name="TT" hidden="1">"(GMT-05:00)7/15/2013 9:07:13 AM"</definedName>
    <definedName name="ty" localSheetId="0" hidden="1">{#N/A,#N/A,FALSE,"Performance_Products_Sold"}</definedName>
    <definedName name="ty" hidden="1">#REF!</definedName>
    <definedName name="tyui" localSheetId="0" hidden="1">{"valuation",#N/A,FALSE,"TXTCOMPS"}</definedName>
    <definedName name="tyui" hidden="1">{"valuation",#N/A,FALSE,"TXTCOMPS"}</definedName>
    <definedName name="u" localSheetId="0" hidden="1">{#N/A,#N/A,FALSE,"Performance_Products_Sold"}</definedName>
    <definedName name="u" hidden="1">{#N/A,#N/A,FALSE,"Performance_Products_Sold"}</definedName>
    <definedName name="uh" hidden="1">#REF!</definedName>
    <definedName name="ui" localSheetId="0" hidden="1">{#N/A,#N/A,FALSE,"Performance_Products_Sold"}</definedName>
    <definedName name="ui" hidden="1">{#N/A,#N/A,FALSE,"Performance_Products_Sold"}</definedName>
    <definedName name="UnauditPct_Look" hidden="1">#REF!</definedName>
    <definedName name="UnitperYear_Look" hidden="1">#REF!</definedName>
    <definedName name="UY" localSheetId="0" hidden="1">{#N/A,#N/A,FALSE,"Performance_Products_Sold"}</definedName>
    <definedName name="UY" hidden="1">{#N/A,#N/A,FALSE,"Performance_Products_Sold"}</definedName>
    <definedName name="v" localSheetId="0" hidden="1">{#N/A,#N/A,TRUE,"Sheet2";"Admin Expense",#N/A,TRUE,"Sheet1";"Gross Profit",#N/A,TRUE,"Sheet1";"Product Support",#N/A,TRUE,"Sheet1"}</definedName>
    <definedName name="v" hidden="1">{#N/A,#N/A,TRUE,"Sheet2";"Admin Expense",#N/A,TRUE,"Sheet1";"Gross Profit",#N/A,TRUE,"Sheet1";"Product Support",#N/A,TRUE,"Sheet1"}</definedName>
    <definedName name="va" localSheetId="0" hidden="1">{"valuation",#N/A,FALSE,"TXTCOMPS"}</definedName>
    <definedName name="va" hidden="1">{"valuation",#N/A,FALSE,"TXTCOMPS"}</definedName>
    <definedName name="Valuation2" hidden="1">#REF!</definedName>
    <definedName name="VariableIDs" hidden="1">#REF!</definedName>
    <definedName name="VBArngLookup" hidden="1">#REF!</definedName>
    <definedName name="VC" localSheetId="0" hidden="1">{#N/A,#N/A,FALSE,"Performance_Products_Sold"}</definedName>
    <definedName name="VC" hidden="1">{#N/A,#N/A,FALSE,"Performance_Products_Sold"}</definedName>
    <definedName name="vertex42_copyright" hidden="1">"© 2008-2015 Vertex42 LLC"</definedName>
    <definedName name="vertex42_id" hidden="1">"cash-flow-statement.xlsx"</definedName>
    <definedName name="vertex42_title" hidden="1">"Cash Flow Statement"</definedName>
    <definedName name="VF" localSheetId="0" hidden="1">{#N/A,#N/A,FALSE,"Performance_Products_Sold"}</definedName>
    <definedName name="VF" hidden="1">{#N/A,#N/A,FALSE,"Performance_Products_Sold"}</definedName>
    <definedName name="vg" localSheetId="0" hidden="1">{"Linda Robens",#N/A,FALSE,"AM";"Robens Summary",#N/A,FALSE,"AM"}</definedName>
    <definedName name="vg" hidden="1">{"Linda Robens",#N/A,FALSE,"AM";"Robens Summary",#N/A,FALSE,"AM"}</definedName>
    <definedName name="vr" localSheetId="0" hidden="1">{#N/A,#N/A,FALSE,"Performance_Products_Sold"}</definedName>
    <definedName name="vr" hidden="1">{#N/A,#N/A,FALSE,"Performance_Products_Sold"}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y" localSheetId="0" hidden="1">{#N/A,#N/A,FALSE,"Performance_Products_Sold"}</definedName>
    <definedName name="vy" hidden="1">{#N/A,#N/A,FALSE,"Performance_Products_Sold"}</definedName>
    <definedName name="w" localSheetId="0" hidden="1">{#N/A,#N/A,FALSE,"Performance_Products_Sold"}</definedName>
    <definedName name="w" hidden="1">{#N/A,#N/A,FALSE,"Performance_Products_Sold"}</definedName>
    <definedName name="WAC_Look" hidden="1">#REF!</definedName>
    <definedName name="we" localSheetId="0" hidden="1">{#N/A,#N/A,FALSE,"Performance_Products_Sold"}</definedName>
    <definedName name="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r" localSheetId="0" hidden="1">{#N/A,#N/A,FALSE,"Performance_Products_Sold"}</definedName>
    <definedName name="wer" hidden="1">{#N/A,#N/A,FALSE,"Performance_Products_Sold"}</definedName>
    <definedName name="werasdf" hidden="1">#REF!</definedName>
    <definedName name="werwew" hidden="1">#REF!</definedName>
    <definedName name="wewewew" hidden="1">#REF!</definedName>
    <definedName name="what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Q" localSheetId="0" hidden="1">{#N/A,#N/A,FALSE,"Performance_Products_Sold"}</definedName>
    <definedName name="WQ" hidden="1">{#N/A,#N/A,FALSE,"Performance_Products_Sold"}</definedName>
    <definedName name="wrn" localSheetId="0" hidden="1">{"Linda Robens",#N/A,FALSE,"AM";"Robens Summary",#N/A,FALSE,"AM"}</definedName>
    <definedName name="wrn" hidden="1">{"Linda Robens",#N/A,FALSE,"AM";"Robens Summary",#N/A,FALSE,"AM"}</definedName>
    <definedName name="wrn.1996._.Incremental._.Expense." localSheetId="0" hidden="1">{#N/A,#N/A,FALSE,"1996 labor";#N/A,#N/A,FALSE,"1996 CASH FLOWS"}</definedName>
    <definedName name="wrn.1996._.Incremental._.Expense." hidden="1">{#N/A,#N/A,FALSE,"1996 labor";#N/A,#N/A,FALSE,"1996 CASH FLOWS"}</definedName>
    <definedName name="wrn.1996._.MMS._.Budget." localSheetId="0" hidden="1">{#N/A,#N/A,TRUE,"Sheet2";"Admin Expense",#N/A,TRUE,"Sheet1";"Gross Profit",#N/A,TRUE,"Sheet1";"Product Support",#N/A,TRUE,"Sheet1"}</definedName>
    <definedName name="wrn.1996._.MMS._.Budget." hidden="1">{#N/A,#N/A,TRUE,"Sheet2";"Admin Expense",#N/A,TRUE,"Sheet1";"Gross Profit",#N/A,TRUE,"Sheet1";"Product Support",#N/A,TRUE,"Sheet1"}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abt." hidden="1">{"ww",#N/A,FALSE,"Hospital Products";"us",#N/A,FALSE,"Hospital Products";"in",#N/A,FALSE,"Hospital Products"}</definedName>
    <definedName name="wrn.Accretion." hidden="1">{"Accretion",#N/A,FALSE,"Assum"}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0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" hidden="1">{#N/A,#N/A,FALSE,"Time Warner";#N/A,#N/A,FALSE,"Entertainment Group";#N/A,#N/A,FALSE,"EBITDA";#N/A,#N/A,FALSE,"Notes"}</definedName>
    <definedName name="wrn.All._.Company._.Analyses." localSheetId="0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0" hidden="1">{#N/A,#N/A,TRUE,"MAIN FT TERM";#N/A,#N/A,TRUE,"MCI  FT TERM ";#N/A,#N/A,TRUE,"OC12 EQV"}</definedName>
    <definedName name="wrn.all._.sheets." hidden="1">{#N/A,#N/A,TRUE,"MAIN FT TERM";#N/A,#N/A,TRUE,"MCI  FT TERM ";#N/A,#N/A,TRUE,"OC12 EQV"}</definedName>
    <definedName name="wrn.All._1" localSheetId="0" hidden="1">{#N/A,#N/A,FALSE,"Inputs-Results"}</definedName>
    <definedName name="wrn.All._1" hidden="1">{#N/A,#N/A,FALSE,"Inputs-Results"}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PJAN96." localSheetId="0" hidden="1">{"Associates",#N/A,FALSE,"FULLESTI";"GPEBIT",#N/A,FALSE,"FULLESTI";"USEBIT",#N/A,FALSE,"FULLESTI";"UKEBIT",#N/A,FALSE,"FULLESTI";"AUSTEBIT",#N/A,FALSE,"FULLESTI"}</definedName>
    <definedName name="wrn.AMPJAN96." hidden="1">{"Associates",#N/A,FALSE,"FULLESTI";"GPEBIT",#N/A,FALSE,"FULLESTI";"USEBIT",#N/A,FALSE,"FULLESTI";"UKEBIT",#N/A,FALSE,"FULLESTI";"AUSTEBIT",#N/A,FALSE,"FULLESTI"}</definedName>
    <definedName name="wrn.APPROPRIATION." hidden="1">{"appropriation",#N/A,FALSE,"APPROP"}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Back._.Page." hidden="1">{"Back Page",#N/A,FALSE,"Front and Back"}</definedName>
    <definedName name="wrn.BALANCE._.SHEET._.ALL." hidden="1">{"balance sheet us",#N/A,FALSE,"Bal. Sht.- Work Cap";"balance sheet ex",#N/A,FALSE,"Bal. Sht.- Work Cap";"balance sheet ww",#N/A,FALSE,"Bal. Sht.- Work Cap"}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alance_THC." localSheetId="0" hidden="1">{"Balance_THC",#N/A,FALSE,"Tenet"}</definedName>
    <definedName name="wrn.Balance_THC." hidden="1">{"Balance_THC",#N/A,FALSE,"Tenet"}</definedName>
    <definedName name="wrn.balsheet." hidden="1">{"balsheet",#N/A,FALSE,"A"}</definedName>
    <definedName name="wrn.Basic." hidden="1">{#N/A,#N/A,FALSE,"e-Svc Level";#N/A,#N/A,FALSE,"e-Hosted";#N/A,#N/A,FALSE,"e-Licensed";#N/A,#N/A,FALSE,"Assumptions"}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ogen._.model." hidden="1">{#N/A,#N/A,FALSE,"Inc";#N/A,#N/A,FALSE,"QInc";#N/A,#N/A,FALSE,"Pro";#N/A,#N/A,FALSE,"QPro"}</definedName>
    <definedName name="wrn.BiPolar." hidden="1">{#N/A,#N/A,FALSE,"Bi-Polar"}</definedName>
    <definedName name="wrn.Book._.Output." localSheetId="0" hidden="1">{#N/A,#N/A,FALSE,"Title";#N/A,#N/A,FALSE,"Inputs";#N/A,#N/A,FALSE,"Impact";#N/A,#N/A,FALSE,"Sources &amp; Uses";#N/A,#N/A,FALSE,"Capitalization Impact";#N/A,#N/A,FALSE,"NEWCO Projections"}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ctus._.01." localSheetId="0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G." hidden="1">{#N/A,#N/A,FALSE,"CAG"}</definedName>
    <definedName name="wrn.cases." localSheetId="0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H._.FLOW._.ALL." hidden="1">{"cash flow ww",#N/A,FALSE,"Cash Flow";"cash flow ex",#N/A,FALSE,"Cash Flow";"cash flow us",#N/A,FALSE,"Cash Flow"}</definedName>
    <definedName name="wrn.CASH._.FLOW._.EX._.US." hidden="1">{"cash flow ex",#N/A,FALSE,"Cash Flow"}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ergy." hidden="1">{#N/A,#N/A,FALSE,"CINERGY"}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ed." localSheetId="0" hidden="1">{"Quarterly earnings",#N/A,FALSE,"Earnings model";"Quarterly compare",#N/A,FALSE,"Earnings model";"Annual earnings",#N/A,FALSE,"Earnings model"}</definedName>
    <definedName name="wrn.COMBINED." hidden="1">{#N/A,#N/A,FALSE,"INPUTS";#N/A,#N/A,FALSE,"PROFORMA BSHEET";#N/A,#N/A,FALSE,"COMBINED";#N/A,#N/A,FALSE,"HIGH YIELD";#N/A,#N/A,FALSE,"COMB_GRAPHS"}</definedName>
    <definedName name="wrn.Combinedfull." localSheetId="0" hidden="1">{"quarterlyfull",#N/A,FALSE,"Earnings model ";"Annualfull",#N/A,FALSE,"Earnings model "}</definedName>
    <definedName name="wrn.Combinedfull." hidden="1">{"quarterlyfull",#N/A,FALSE,"Earnings model ";"Annualfull",#N/A,FALSE,"Earnings model "}</definedName>
    <definedName name="wrn.Commercial._.Ins.." localSheetId="0" hidden="1">{#N/A,#N/A,FALSE,"COMMRCL INS"}</definedName>
    <definedName name="wrn.Commercial._.Ins.." hidden="1">{#N/A,#N/A,FALSE,"COMMRCL INS"}</definedName>
    <definedName name="wrn.compco." localSheetId="0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{"sales",#N/A,FALSE,"AGN Model";"p&amp;L growth",#N/A,FALSE,"AGN Model";"cash flow",#N/A,FALSE,"AGN Model";"balance sheet",#N/A,FALSE,"AGN Model"}</definedName>
    <definedName name="wrn.Complete._.Budget." localSheetId="0" hidden="1">{#N/A,#N/A,TRUE,"Budget";#N/A,#N/A,TRUE,"Revenue &amp; COGS"}</definedName>
    <definedName name="wrn.Complete._.Budget." hidden="1">{#N/A,#N/A,TRUE,"Budget";#N/A,#N/A,TRUE,"Revenue &amp; COGS"}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s." localSheetId="0" hidden="1">{"comps",#N/A,FALSE,"TXTCOMPS"}</definedName>
    <definedName name="wrn.comps." hidden="1">{"comps",#N/A,FALSE,"TXTCOMPS"}</definedName>
    <definedName name="wrn.Contribution." localSheetId="0" hidden="1">{#N/A,#N/A,FALSE,"CONTRIB"}</definedName>
    <definedName name="wrn.Contribution." hidden="1">{#N/A,#N/A,FALSE,"CONTRIB"}</definedName>
    <definedName name="wrn.CORR." hidden="1">{"INCSTMT1",#N/A,FALSE,"COR";"INCSTMT2",#N/A,FALSE,"COR"}</definedName>
    <definedName name="wrn.COST._.OF._.GOODS._.SOLD." hidden="1">{"cogs",#N/A,FALSE,"Cost Of Goods Sold"}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 Summary"}</definedName>
    <definedName name="wrn.Crime._.Ins.." localSheetId="0" hidden="1">{#N/A,#N/A,FALSE,"CRIME INS."}</definedName>
    <definedName name="wrn.Crime._.Ins.." hidden="1">{#N/A,#N/A,FALSE,"CRIME INS."}</definedName>
    <definedName name="wrn.crossroads." hidden="1">{#N/A,#N/A,FALSE,"RENT ROLL";#N/A,#N/A,FALSE,"CAM";#N/A,#N/A,FALSE,"TAXES";#N/A,#N/A,FALSE,"INSURANCE";#N/A,#N/A,FALSE,"HVAC";#N/A,#N/A,FALSE,"MARKETING"}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1." localSheetId="0" hidden="1">{"csc2",#N/A,FALSE,"Output";"ratios2",#N/A,FALSE,"Ratios"}</definedName>
    <definedName name="wrn.CSC1." hidden="1">{"csc2",#N/A,FALSE,"Output";"ratios2",#N/A,FALSE,"Ratios"}</definedName>
    <definedName name="wrn.csc2." localSheetId="0" hidden="1">{#N/A,#N/A,FALSE,"ORIX CSC"}</definedName>
    <definedName name="wrn.csc2." hidden="1">{#N/A,#N/A,FALSE,"ORIX CSC"}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localSheetId="0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reciation." localSheetId="0" hidden="1">{#N/A,#N/A,FALSE,"DEPR"}</definedName>
    <definedName name="wrn.Depreciation." hidden="1">{"GAAP Deprec",#N/A,TRUE,"Financials";"Tax Deprec",#N/A,TRUE,"Financials"}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Detailed._.P._.and._.L." hidden="1">{"P and L Detail Page 1",#N/A,FALSE,"Data";"P and L Detail Page 2",#N/A,FALSE,"Data"}</definedName>
    <definedName name="wrn.Development._.Hours." hidden="1">{#N/A,#N/A,FALSE,"July 95";#N/A,#N/A,FALSE,"Aug 95";#N/A,#N/A,FALSE,"Sep 95";#N/A,#N/A,FALSE,"October 95"}</definedName>
    <definedName name="wrn.Eagle." localSheetId="0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mployee._.Efficiency." localSheetId="0" hidden="1">{"Employee Efficiency",#N/A,FALSE,"Benchmarking"}</definedName>
    <definedName name="wrn.Employee._.Efficiency." hidden="1">{"Employee Efficiency",#N/A,FALSE,"Benchmarking"}</definedName>
    <definedName name="wrn.EN3202._.ANALYSIS." localSheetId="0" hidden="1">{#N/A,#N/A,FALSE,"Comparison of options";#N/A,#N/A,FALSE,"Total EN3202";#N/A,#N/A,FALSE,"Endo Optional Agrmt Inc Stmt";#N/A,#N/A,FALSE,"Penwest Optional Agrmt IncStmt";#N/A,#N/A,FALSE,"Assumptions";#N/A,#N/A,FALSE,"R&amp;D Budget";#N/A,#N/A,FALSE,"Selling Budget"}</definedName>
    <definedName name="wrn.EN3202._.ANALYSIS." hidden="1">{#N/A,#N/A,FALSE,"Comparison of options";#N/A,#N/A,FALSE,"Total EN3202";#N/A,#N/A,FALSE,"Endo Optional Agrmt Inc Stmt";#N/A,#N/A,FALSE,"Penwest Optional Agrmt IncStmt";#N/A,#N/A,FALSE,"Assumptions";#N/A,#N/A,FALSE,"R&amp;D Budget";#N/A,#N/A,FALSE,"Selling Budget"}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.._.A." hidden="1">{"Page 1",#N/A,TRUE,"Sheet1";"Page 2",#N/A,TRUE,"Sheet1"}</definedName>
    <definedName name="wrn.EXEC._.SUMM._.ALL." hidden="1">{"exec sum us",#N/A,FALSE,"Exec Sum";"exec sum ex",#N/A,FALSE,"Exec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FCB." hidden="1">{"FCB_ALL",#N/A,FALSE,"FCB"}</definedName>
    <definedName name="wrn.fcb2" localSheetId="0" hidden="1">{"FCB_ALL",#N/A,FALSE,"FCB"}</definedName>
    <definedName name="wrn.fcb2" hidden="1">{"FCB_ALL",#N/A,FALSE,"FCB"}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._.Output." hidden="1">{"P and L",#N/A,FALSE,"Financial Output";"Cashflow",#N/A,FALSE,"Financial Output";"Balance Sheet",#N/A,FALSE,"Financial Output"}</definedName>
    <definedName name="wrn.FINANCIAL._.SUMMARY._.ALL." hidden="1">{"fin sum us",#N/A,FALSE,"Financial Summ";"fin sum ex",#N/A,FALSE,"Financial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._.DCF.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stat." hidden="1">{"ass",#N/A,FALSE,"finstat";"inc",#N/A,FALSE,"finstat";"bs",#N/A,FALSE,"finstat";"cf",#N/A,FALSE,"finstat";"ratios",#N/A,FALSE,"finstat"}</definedName>
    <definedName name="wrn.Five._.Year._.Record." hidden="1">{"Five Year Record",#N/A,FALSE,"Front and Back"}</definedName>
    <definedName name="wrn.Forecast._.Model." localSheetId="0" hidden="1">{"Forecast Model 1",#N/A,FALSE,"Forecast Model";"Forecast Model 2",#N/A,FALSE,"Forecast Model"}</definedName>
    <definedName name="wrn.Forecast._.Model." hidden="1">{"Forecast Model 1",#N/A,FALSE,"Forecast Model";"Forecast Model 2",#N/A,FALSE,"Forecast Model"}</definedName>
    <definedName name="wrn.Front._.Page." hidden="1">{"Front Page",#N/A,FALSE,"Front and Back"}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ELX." hidden="1">{"RenaGel Revenue",#N/A,FALSE,"RenaGel";"QEarn1",#N/A,FALSE,"Qearn";"QEarn2",#N/A,FALSE,"Qearn";"Cashflow",#N/A,FALSE,"Cashflow";"Product Pipeline",#N/A,FALSE,"Product Pipeline";"First Call Tables",#N/A,FALSE,"First Call Table";"Comment P&amp;L",#N/A,FALSE,"Comment P&amp;L"}</definedName>
    <definedName name="wrn.Genentech._.Model." hidden="1">{#N/A,#N/A,FALSE,"Inc";#N/A,#N/A,FALSE,"Prod";#N/A,#N/A,FALSE,"QInc";#N/A,#N/A,FALSE,"QProd"}</definedName>
    <definedName name="wrn.GENERAL._.INPUT._.SCREEN." hidden="1">{"General Input",#N/A,FALSE,"General Input"}</definedName>
    <definedName name="wrn.Genzyme._.Full._.Report." hidden="1">{"revenue",#N/A,FALSE,"Revenue";"qearn1",#N/A,FALSE,"Qearn";"qearn2",#N/A,FALSE,"Qearn";"qmargin",#N/A,FALSE,"Qmargin";"cashflow",#N/A,FALSE,"Cashflow"}</definedName>
    <definedName name="wrn.Geographic._.Trends." hidden="1">{"Geographic P1",#N/A,FALSE,"Division &amp; Geog"}</definedName>
    <definedName name="wrn.GIS." hidden="1">{#N/A,#N/A,FALSE,"GIS"}</definedName>
    <definedName name="wrn.GRAPHS." hidden="1">{#N/A,#N/A,FALSE,"ACQ_GRAPHS";#N/A,#N/A,FALSE,"T_1 GRAPHS";#N/A,#N/A,FALSE,"T_2 GRAPHS";#N/A,#N/A,FALSE,"COMB_GRAPHS"}</definedName>
    <definedName name="wrn.HNZ." hidden="1">{#N/A,#N/A,FALSE,"HNZ"}</definedName>
    <definedName name="wrn.HRT." hidden="1">{"HRT",#N/A,FALSE,"HRT"}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nc." hidden="1">{"inc",#N/A,FALSE,"finstat"}</definedName>
    <definedName name="wrn.Income._.Statement." localSheetId="0" hidden="1">{#N/A,#N/A,FALSE}</definedName>
    <definedName name="wrn.Income._.Statement." hidden="1">{#N/A,#N/A,FALSE,"Report Print"}</definedName>
    <definedName name="wrn.Ins.._.General." localSheetId="0" hidden="1">{#N/A,#N/A,FALSE,"INS-GENL"}</definedName>
    <definedName name="wrn.Ins.._.General." hidden="1">{#N/A,#N/A,FALSE,"INS-GENL"}</definedName>
    <definedName name="wrn.Ins.._.Medical." localSheetId="0" hidden="1">{#N/A,#N/A,FALSE,"INS-MED"}</definedName>
    <definedName name="wrn.Ins.._.Medical." hidden="1">{#N/A,#N/A,FALSE,"INS-MED"}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PO._.Valuation." hidden="1">{"assumptions",#N/A,FALSE,"Scenario 1";"valuation",#N/A,FALSE,"Scenario 1"}</definedName>
    <definedName name="wrn.IS._.DETAIL._.ALL." hidden="1">{"is detail ww",#N/A,FALSE,"IS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K." hidden="1">{#N/A,#N/A,FALSE,"K"}</definedName>
    <definedName name="wrn.LBO._.Summary." hidden="1">{"LBO Summary",#N/A,FALSE,"Summary"}</definedName>
    <definedName name="wrn.LE." localSheetId="0" hidden="1">{#N/A,#N/A,FALSE,"Topline";#N/A,#N/A,FALSE,"LE Sum'99";#N/A,#N/A,FALSE,"Demand Growth"}</definedName>
    <definedName name="wrn.LE." hidden="1">{#N/A,#N/A,FALSE,"Topline";#N/A,#N/A,FALSE,"LE Sum'99";#N/A,#N/A,FALSE,"Demand Growth"}</definedName>
    <definedName name="wrn.Lead." localSheetId="0" hidden="1">{#N/A,#N/A,FALSE,"DEPR"}</definedName>
    <definedName name="wrn.Lead." hidden="1">{#N/A,#N/A,FALSE,"DEPR"}</definedName>
    <definedName name="wrn.Leased._.Auto." localSheetId="0" hidden="1">{#N/A,#N/A,FALSE,"LEASED AUTO"}</definedName>
    <definedName name="wrn.Leased._.Auto." hidden="1">{#N/A,#N/A,FALSE,"LEASED AUTO"}</definedName>
    <definedName name="wrn.Linda._.Robens." localSheetId="0" hidden="1">{"Linda Robens",#N/A,FALSE,"AM";"Robens Summary",#N/A,FALSE,"AM"}</definedName>
    <definedName name="wrn.Linda._.Robens." hidden="1">{"Linda Robens",#N/A,FALSE,"AM";"Robens Summary",#N/A,FALSE,"AM"}</definedName>
    <definedName name="wrn.Line._.Efficiency." localSheetId="0" hidden="1">{"Line Efficiency",#N/A,FALSE,"Benchmarking"}</definedName>
    <definedName name="wrn.Line._.Efficiency." hidden="1">{"Line Efficiency",#N/A,FALSE,"Benchmarking"}</definedName>
    <definedName name="wrn.magilla.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RKETING._.SUMMARY." hidden="1">{"Marketing Summary",#N/A,FALSE,"Marketing Spending"}</definedName>
    <definedName name="wrn.MCCRK." hidden="1">{#N/A,#N/A,FALSE,"MCCRK"}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rger." localSheetId="0" hidden="1">{"inputs",#N/A,FALSE,"Inputs";"stock",#N/A,FALSE,"Stock_pur";"pool",#N/A,FALSE,"Pooling";"debt",#N/A,FALSE,"Debt_pur";"blend",#N/A,FALSE,"50_50"}</definedName>
    <definedName name="wrn.merger." hidden="1">{"inputs",#N/A,FALSE,"Inputs";"stock",#N/A,FALSE,"Stock_pur";"pool",#N/A,FALSE,"Pooling";"debt",#N/A,FALSE,"Debt_pur";"blend",#N/A,FALSE,"50_50"}</definedName>
    <definedName name="wrn.Misc.." localSheetId="0" hidden="1">{#N/A,#N/A,FALSE,"MISC"}</definedName>
    <definedName name="wrn.Misc.." hidden="1">{#N/A,#N/A,FALSE,"MISC"}</definedName>
    <definedName name="wrn.Model." localSheetId="0" hidden="1">{"Quarterly (Earnings model )",#N/A,FALSE,"Earnings model ";"Annual (Earnings model )",#N/A,FALSE,"Earnings model "}</definedName>
    <definedName name="wrn.Model." hidden="1">{"Quarterly (Earnings model )",#N/A,FALSE,"Earnings model ";"Annual (Earnings model )",#N/A,FALSE,"Earnings model "}</definedName>
    <definedName name="wrn.Monotherapy." hidden="1">{"mono",#N/A,FALSE,"Mono-therapy"}</definedName>
    <definedName name="wrn.Monthly._.Act._.P_L." hidden="1">{"Monthly",#N/A,FALSE,"1.2"}</definedName>
    <definedName name="wrn.monthlyunits." hidden="1">{"monthlyunits",#N/A,FALSE,"openings"}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NA." hidden="1">{#N/A,#N/A,FALSE,"NA"}</definedName>
    <definedName name="wrn.NET._.TRADE._.SALES." hidden="1">{"Net Trade Sales",#N/A,FALSE,"Net Trade Sales"}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one._.case." localSheetId="0" hidden="1">{"pro forma financials",#N/A,FALSE,"pf parent";"pro forma credit",#N/A,FALSE,"pf parent";"pro forma financials",#N/A,FALSE,"pro forma";"pro forma credit",#N/A,FALSE,"pro forma";"avp",#N/A,FALSE,"AVP"}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ther._.Prof.." localSheetId="0" hidden="1">{#N/A,#N/A,FALSE,"OTHR-PROF"}</definedName>
    <definedName name="wrn.Other._.Prof.." hidden="1">{#N/A,#N/A,FALSE,"OTHR-PROF"}</definedName>
    <definedName name="wrn.output." localSheetId="0" hidden="1">{#N/A,#N/A,FALSE,"Summary Info"}</definedName>
    <definedName name="wrn.output." hidden="1">{#N/A,#N/A,FALSE,"Summary Info"}</definedName>
    <definedName name="wrn.Page._.1." hidden="1">{"Page 1",#N/A,FALSE,"Sheet1";"Page 2",#N/A,FALSE,"Sheet1"}</definedName>
    <definedName name="wrn.PAYBACK." hidden="1">{"payback",#N/A,FALSE,"TV_Payback"}</definedName>
    <definedName name="wrn.Payroll." localSheetId="0" hidden="1">{#N/A,#N/A,FALSE,"PAYRLL"}</definedName>
    <definedName name="wrn.Payroll." hidden="1">{#N/A,#N/A,FALSE,"PAYRLL"}</definedName>
    <definedName name="wrn.PerfHealth._.Sold._.by._.Alpha." localSheetId="0" hidden="1">{#N/A,#N/A,FALSE,"Performance_Products_Sold"}</definedName>
    <definedName name="wrn.PerfHealth._.Sold._.by._.Alpha." hidden="1">{#N/A,#N/A,FALSE,"Performance_Products_Sold"}</definedName>
    <definedName name="wrn.PORTFOLIO." hidden="1">{"aug98",#N/A,FALSE,"Portfolio";"feb99",#N/A,FALSE,"Portfolio";"DIFFERENCE",#N/A,FALSE,"Portfolio"}</definedName>
    <definedName name="wrn.Portfolio.2" hidden="1">{"aug98",#N/A,FALSE,"Portfolio";"feb99",#N/A,FALSE,"Portfolio";"DIFFERENCE",#N/A,FALSE,"Portfolio"}</definedName>
    <definedName name="wrn.PORTFOLIO1" hidden="1">{"aug98",#N/A,FALSE,"Portfolio";"feb99",#N/A,FALSE,"Portfolio";"DIFFERENCE",#N/A,FALSE,"Portfolio"}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0" hidden="1">{#N/A,#N/A,FALSE,"New DCF";#N/A,#N/A,FALSE,"DCF notes";#N/A,#N/A,FALSE,"Conventional in Sfr";#N/A,#N/A,FALSE,"High Volume in SFr";#N/A,#N/A,FALSE,"LCP in SFr";#N/A,#N/A,FALSE,"Notes";#N/A,#N/A,FALSE,"20 Y Daillies in SFr";#N/A,#N/A,FALSE,"Dailies Notes";#N/A,#N/A,FALSE,"SFr 12y  Base Ophtha";#N/A,#N/A,FALSE,"Optha Notes";#N/A,#N/A,FALSE,"Trade Name";#N/A,#N/A,FALSE,"Trade Name Notes"}</definedName>
    <definedName name="wrn.print." hidden="1">{#N/A,#N/A,FALSE,"Japan 2003";#N/A,#N/A,FALSE,"Sheet2"}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rent._.cases." localSheetId="0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tandalone." localSheetId="0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ulster._.cases." localSheetId="0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localSheetId="0" hidden="1">{"CSC_1",#N/A,FALSE,"CSC Outputs";"CSC_2",#N/A,FALSE,"CSC Outputs"}</definedName>
    <definedName name="wrn.Print_CSC." hidden="1">{"CSC_1",#N/A,FALSE,"CSC Outputs";"CSC_2",#N/A,FALSE,"CSC Outputs"}</definedName>
    <definedName name="wrn.Print_Macro." localSheetId="0" hidden="1">{"Inputs",#N/A,TRUE,"Inputs";"Rockies",#N/A,TRUE,"Rockies";"Southern",#N/A,TRUE,"Southern";"Cascades",#N/A,TRUE,"Cascades";"Land_Sales",#N/A,TRUE,"LandSales";"Lumber_NW",#N/A,TRUE,"Lumber NW";"Plywood",#N/A,TRUE,"Plywood";"MDF",#N/A,TRUE,"MDF";"Chips",#N/A,TRUE,"Chips";"Lumber_South",#N/A,TRUE,"Lumber South";"Plywood_South",#N/A,TRUE,"Plywood South";"Consol",#N/A,TRUE,"Consol"}</definedName>
    <definedName name="wrn.Print_Macro." hidden="1">{"Inputs",#N/A,TRUE,"Inputs";"Rockies",#N/A,TRUE,"Rockies";"Southern",#N/A,TRUE,"Southern";"Cascades",#N/A,TRUE,"Cascades";"Land_Sales",#N/A,TRUE,"LandSales";"Lumber_NW",#N/A,TRUE,"Lumber NW";"Plywood",#N/A,TRUE,"Plywood";"MDF",#N/A,TRUE,"MDF";"Chips",#N/A,TRUE,"Chips";"Lumber_South",#N/A,TRUE,"Lumber South";"Plywood_South",#N/A,TRUE,"Plywood South";"Consol",#N/A,TRUE,"Consol"}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localSheetId="0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Profit._.Sharing." localSheetId="0" hidden="1">{#N/A,#N/A,FALSE,"PRFT-SHRNG"}</definedName>
    <definedName name="wrn.Profit._.Sharing." hidden="1">{#N/A,#N/A,FALSE,"PRFT-SHRNG"}</definedName>
    <definedName name="wrn.PROFIT._.SPLIT." hidden="1">{"profit split",#N/A,FALSE,"Profit Split"}</definedName>
    <definedName name="wrn.Property._.Tax." localSheetId="0" hidden="1">{#N/A,#N/A,FALSE,"PPTY-TX"}</definedName>
    <definedName name="wrn.Property._.Tax." hidden="1">{#N/A,#N/A,FALSE,"PPTY-TX"}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Q_Statistics_NME." localSheetId="0" hidden="1">{"Q_Statistics_NME",#N/A,FALSE,"NME"}</definedName>
    <definedName name="wrn.Q_Statistics_NME." hidden="1">{"Q_Statistics_NME",#N/A,FALSE,"NME"}</definedName>
    <definedName name="wrn.Qtrs_PL." hidden="1">{"Quarters",#N/A,FALSE,"1.2"}</definedName>
    <definedName name="wrn.quart." hidden="1">{"quart",#N/A,FALSE,"quartfin"}</definedName>
    <definedName name="wrn.Quarterly_AMI." localSheetId="0" hidden="1">{"Quarterly_AMI",#N/A,FALSE,"AMI"}</definedName>
    <definedName name="wrn.Quarterly_AMI." hidden="1">{"Quarterly_AMI",#N/A,FALSE,"AMI"}</definedName>
    <definedName name="wrn.Quarterly_NME." localSheetId="0" hidden="1">{"Quarterly_NME",#N/A,FALSE,"NME"}</definedName>
    <definedName name="wrn.Quarterly_NME." hidden="1">{"Quarterly_NME",#N/A,FALSE,"NME"}</definedName>
    <definedName name="wrn.Quarterly_THC." localSheetId="0" hidden="1">{"Quarterly_THC",#N/A,FALSE,"Tenet"}</definedName>
    <definedName name="wrn.Quarterly_THC." hidden="1">{"Quarterly_THC",#N/A,FALSE,"Tenet"}</definedName>
    <definedName name="wrn.quartfin." hidden="1">{"quartfin",#N/A,FALSE,"quartfin"}</definedName>
    <definedName name="wrn.RA." hidden="1">{"OKT4ARA",#N/A,FALSE,"OKT-4 RA"}</definedName>
    <definedName name="wrn.Rankings." localSheetId="0" hidden="1">{"Rank View 1",#N/A,FALSE,"Forecast Model";"Rank View 2",#N/A,FALSE,"Forecast Model"}</definedName>
    <definedName name="wrn.Rankings." hidden="1">{"Rank View 1",#N/A,FALSE,"Forecast Model";"Rank View 2",#N/A,FALSE,"Forecast Model"}</definedName>
    <definedName name="wrn.ratios._.only." localSheetId="0" hidden="1">{"ratios2",#N/A,FALSE,"Ratios"}</definedName>
    <definedName name="wrn.ratios._.only." hidden="1">{"ratios2",#N/A,FALSE,"Ratios"}</definedName>
    <definedName name="wrn.Rental." localSheetId="0" hidden="1">{#N/A,#N/A,FALSE,"RENTAL"}</definedName>
    <definedName name="wrn.Rental." hidden="1">{#N/A,#N/A,FALSE,"RENTAL"}</definedName>
    <definedName name="wrn.Repairs." localSheetId="0" hidden="1">{#N/A,#N/A,FALSE,"RPRS"}</definedName>
    <definedName name="wrn.Repairs." hidden="1">{#N/A,#N/A,FALSE,"RPRS"}</definedName>
    <definedName name="wrn.Report." localSheetId="0" hidden="1">{"Cashflow",#N/A,FALSE,"CASHFLOW";"DCF",#N/A,FALSE,"CASHFLOW"}</definedName>
    <definedName name="wrn.Report." hidden="1">{"Cashflow",#N/A,FALSE,"CASHFLOW";"DCF",#N/A,FALSE,"CASHFLOW"}</definedName>
    <definedName name="wrn.Report_PR_1." hidden="1">{"PR1","pr1",TRUE,"Sch PR-1"}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SEARCH._.AND._.DEVELOPMENT." hidden="1">{"R &amp; D",#N/A,FALSE,"Research and Development"}</definedName>
    <definedName name="wrn.Riverwood_comp_model.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YALTIES." hidden="1">{"Royalties",#N/A,FALSE,"Royalty Computations"}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Salaries." localSheetId="0" hidden="1">{#N/A,#N/A,FALSE,"SALRY"}</definedName>
    <definedName name="wrn.Salaries." hidden="1">{#N/A,#N/A,FALSE,"SALRY"}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and._.CVCM." localSheetId="0" hidden="1">{#N/A,#N/A,FALSE,"REPORTS";#N/A,#N/A,FALSE,"Summary";#N/A,#N/A,FALSE,"salessummary";#N/A,#N/A,FALSE,"cvcmsummary";#N/A,#N/A,FALSE,"cvcm%summary"}</definedName>
    <definedName name="wrn.Sales._.and._.CVCM." hidden="1">{#N/A,#N/A,FALSE,"REPORTS";#N/A,#N/A,FALSE,"Summary";#N/A,#N/A,FALSE,"salessummary";#N/A,#N/A,FALSE,"cvcmsummary";#N/A,#N/A,FALSE,"cvcm%summary"}</definedName>
    <definedName name="wrn.sales2._.and._cvcm2." localSheetId="0" hidden="1">{#N/A,#N/A,FALSE,"REPORTS";#N/A,#N/A,FALSE,"Summary";#N/A,#N/A,FALSE,"salessummary";#N/A,#N/A,FALSE,"cvcmsummary";#N/A,#N/A,FALSE,"cvcm%summary"}</definedName>
    <definedName name="wrn.sales2._.and._cvcm2." hidden="1">{#N/A,#N/A,FALSE,"REPORTS";#N/A,#N/A,FALSE,"Summary";#N/A,#N/A,FALSE,"salessummary";#N/A,#N/A,FALSE,"cvcmsummary";#N/A,#N/A,FALSE,"cvcm%summary"}</definedName>
    <definedName name="wrn.salesassum." hidden="1">{"Salesass",#N/A,FALSE,"assumpt"}</definedName>
    <definedName name="wrn.Savings._.Plan." localSheetId="0" hidden="1">{#N/A,#N/A,FALSE,"SVGS PLN"}</definedName>
    <definedName name="wrn.Savings._.Plan." hidden="1">{#N/A,#N/A,FALSE,"SVGS PLN"}</definedName>
    <definedName name="wrn.Scripts." hidden="1">{"ENBREL",#N/A,FALSE,"Sheet1";"RenaGel",#N/A,FALSE,"Sheet1";"HIV PI",#N/A,FALSE,"Sheet1";"MS",#N/A,FALSE,"Sheet1"}</definedName>
    <definedName name="wrn.segment._.EPS." localSheetId="0" hidden="1">{"segment_EPS",#N/A,FALSE,"TXTCOMPS"}</definedName>
    <definedName name="wrn.segment._.EPS." hidden="1">{"segment_EPS",#N/A,FALSE,"TXTCOMPS"}</definedName>
    <definedName name="wrn.SELLING._.CALCULATION." hidden="1">{"selling",#N/A,FALSE,"Selling Expense"}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HORT." localSheetId="0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.Report." hidden="1">{"short1",#N/A,FALSE,"masmode";"short2",#N/A,FALSE,"masmode";"qtrres",#N/A,FALSE,"QTR. RES.";"sales",#N/A,FALSE,"Sales &amp; Market Share"}</definedName>
    <definedName name="wrn.single._.case." localSheetId="0" hidden="1">{"Pro Forma Financials",#N/A,FALSE,"pro forma";"Credit Analysis",#N/A,FALSE,"pro forma";"avp",#N/A,FALSE,"avp jon"}</definedName>
    <definedName name="wrn.single._.case." hidden="1">{"Pro Forma Financials",#N/A,FALSE,"pro forma";"Credit Analysis",#N/A,FALSE,"pro forma";"avp",#N/A,FALSE,"avp jon"}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_BOTH." hidden="1">{"FCB_ALL",#N/A,FALSE,"FCB";"GREY_ALL",#N/A,FALSE,"GREY"}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istics_NME." localSheetId="0" hidden="1">{"Statistics_NME",#N/A,FALSE,"NME"}</definedName>
    <definedName name="wrn.Statistics_NME." hidden="1">{"Statistics_NME",#N/A,FALSE,"NME"}</definedName>
    <definedName name="wrn.Statistics_THC." localSheetId="0" hidden="1">{"Statistics_THC",#N/A,FALSE,"Tenet"}</definedName>
    <definedName name="wrn.Statistics_THC." hidden="1">{"Statistics_THC",#N/A,FALSE,"Tenet"}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ructure_Comparison_Analysis." localSheetId="0" hidden="1">{"Structure_Charts",#N/A,FALSE,"Conversion";"Structure_Nums",#N/A,FALSE,"Conversion";"Structure_DCF",#N/A,FALSE,"Conversion"}</definedName>
    <definedName name="wrn.Structure_Comparison_Analysis." hidden="1">{"Structure_Charts",#N/A,FALSE,"Conversion";"Structure_Nums",#N/A,FALSE,"Conversion";"Structure_DCF",#N/A,FALSE,"Conversion"}</definedName>
    <definedName name="wrn.Summary." localSheetId="0" hidden="1">{"Financial Assumptions",#N/A,FALSE,"RF Summary";"Sales Repsonse Graphs",#N/A,FALSE,"RF Summary"}</definedName>
    <definedName name="wrn.Summary." hidden="1">{"Financial Assumptions",#N/A,FALSE,"RF Summary";"Sales Repsonse Graphs",#N/A,FALSE,"RF Summary"}</definedName>
    <definedName name="wrn.Summary._.Output." localSheetId="0" hidden="1">{#N/A,#N/A,FALSE,"Title";#N/A,#N/A,FALSE,"Inputs";#N/A,#N/A,FALSE,"Impact"}</definedName>
    <definedName name="wrn.Summary._.Output." hidden="1">{#N/A,#N/A,FALSE,"Title";#N/A,#N/A,FALSE,"Inputs";#N/A,#N/A,FALSE,"Impact"}</definedName>
    <definedName name="wrn.Summary._.Presentation." localSheetId="0" hidden="1">{#N/A,#N/A,FALSE,"Financial Statements";#N/A,#N/A,FALSE,"MM FA &amp; Multiples";#N/A,#N/A,FALSE,"Preliminary Valuation";#N/A,#N/A,FALSE,"WACC"}</definedName>
    <definedName name="wrn.Summary._.Presentation." hidden="1">{#N/A,#N/A,FALSE,"Financial Statements";#N/A,#N/A,FALSE,"MM FA &amp; Multiples";#N/A,#N/A,FALSE,"Preliminary Valuation";#N/A,#N/A,FALSE,"WACC"}</definedName>
    <definedName name="wrn.Summary._.Projections." localSheetId="0" hidden="1">{#N/A,#N/A,FALSE,"Summary - Forte";#N/A,#N/A,FALSE,"Summary - ITT"}</definedName>
    <definedName name="wrn.Summary._.Projections." hidden="1">{#N/A,#N/A,FALSE,"Summary - Forte";#N/A,#N/A,FALSE,"Summary - ITT"}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NPV." hidden="1">{"Sumnpv",#N/A,FALSE,"List"}</definedName>
    <definedName name="wrn.Supplies." localSheetId="0" hidden="1">{#N/A,#N/A,FALSE,"SUPPLIES"}</definedName>
    <definedName name="wrn.Supplies." hidden="1">{#N/A,#N/A,FALSE,"SUPPLIES"}</definedName>
    <definedName name="wrn.Supplies._.Combo." localSheetId="0" hidden="1">{#N/A,#N/A,FALSE,"SUPcombo"}</definedName>
    <definedName name="wrn.Supplies._.Combo." hidden="1">{#N/A,#N/A,FALSE,"SUPcombo"}</definedName>
    <definedName name="wrn.Sykes." localSheetId="0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iff._.Analysis." localSheetId="0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0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axes." hidden="1">{"Def Tax Long",#N/A,TRUE,"Financials";"Def Tax Short",#N/A,TRUE,"Financials";"Cons Tax Sched",#N/A,TRUE,"Financials"}</definedName>
    <definedName name="wrn.tcs2." hidden="1">{"tcs1",#N/A,FALSE,"Contra Patch"}</definedName>
    <definedName name="wrn.Telephone." localSheetId="0" hidden="1">{#N/A,#N/A,FALSE,"TELE"}</definedName>
    <definedName name="wrn.Telephone." hidden="1">{#N/A,#N/A,FALSE,"TELE"}</definedName>
    <definedName name="wrn.Temp._.Help." localSheetId="0" hidden="1">{#N/A,#N/A,FALSE,"TEMP HELP"}</definedName>
    <definedName name="wrn.Temp._.Help." hidden="1">{#N/A,#N/A,FALSE,"TEMP HELP"}</definedName>
    <definedName name="wrn.TERMINAL._.VALUE." hidden="1">{"terminal value",#N/A,FALSE,"TV_Payback"}</definedName>
    <definedName name="wrn.test." localSheetId="0" hidden="1">{"test2",#N/A,TRUE,"Prices"}</definedName>
    <definedName name="wrn.test." hidden="1">{"tcs2",#N/A,FALSE,"Contra Patch"}</definedName>
    <definedName name="wrn.test.ins" localSheetId="0" hidden="1">{#N/A,#N/A,FALSE,"CRIME INS."}</definedName>
    <definedName name="wrn.test.ins" hidden="1">{#N/A,#N/A,FALSE,"CRIME INS."}</definedName>
    <definedName name="wrn.Textron." localSheetId="0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itanium._.Report." localSheetId="0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op._.Level._.Summaries." localSheetId="0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wrn.Top._.Level._.Summaries.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wrn.Total._.Presentation." localSheetId="0" hidden="1">{#N/A,#N/A,TRUE,"Financial Statements";#N/A,#N/A,TRUE,"Normalized Salaries";#N/A,#N/A,TRUE,"Valuation";#N/A,#N/A,TRUE,"Beta, Wd, We and Excess WC";#N/A,#N/A,TRUE,"WACC";#N/A,#N/A,TRUE,"MM FA &amp; Multiples"}</definedName>
    <definedName name="wrn.Total._.Presentation." hidden="1">{#N/A,#N/A,TRUE,"Financial Statements";#N/A,#N/A,TRUE,"Normalized Salaries";#N/A,#N/A,TRUE,"Valuation";#N/A,#N/A,TRUE,"Beta, Wd, We and Excess WC";#N/A,#N/A,TRUE,"WACC";#N/A,#N/A,TRUE,"MM FA &amp; Multiples"}</definedName>
    <definedName name="wrn.Trading._.Summary." hidden="1">{#N/A,#N/A,FALSE,"Trading Summary"}</definedName>
    <definedName name="wrn.Travel._.and._.Enter.." localSheetId="0" hidden="1">{#N/A,#N/A,FALSE,"T&amp;E"}</definedName>
    <definedName name="wrn.Travel._.and._.Enter.." hidden="1">{#N/A,#N/A,FALSE,"T&amp;E"}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ypical." hidden="1">{"typical",#N/A,FALSE,"Typical Absence"}</definedName>
    <definedName name="wrn.U.S.._.Industries._.Inc.." localSheetId="0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mbrella._.Ins.." localSheetId="0" hidden="1">{#N/A,#N/A,FALSE,"UMBRELLA INS."}</definedName>
    <definedName name="wrn.Umbrella._.Ins.." hidden="1">{#N/A,#N/A,FALSE,"UMBRELLA INS."}</definedName>
    <definedName name="wrn.upstairs." hidden="1">{"histincome",#N/A,FALSE,"hyfins";"closing balance",#N/A,FALSE,"hyfins"}</definedName>
    <definedName name="wrn.US._.and._.Europe." localSheetId="0" hidden="1">{#N/A,#N/A,FALSE,"Consolidated Financials";#N/A,#N/A,FALSE,"US Mkt";#N/A,#N/A,FALSE,"Eur Mkt"}</definedName>
    <definedName name="wrn.US._.and._.Europe." hidden="1">{#N/A,#N/A,FALSE,"Consolidated Financials";#N/A,#N/A,FALSE,"US Mkt";#N/A,#N/A,FALSE,"Eur Mkt"}</definedName>
    <definedName name="wrn.US._.and._.Europe_1" localSheetId="0" hidden="1">{#N/A,#N/A,FALSE,"Consolidated Financials";#N/A,#N/A,FALSE,"US Mkt";#N/A,#N/A,FALSE,"Eur Mkt"}</definedName>
    <definedName name="wrn.US._.and._.Europe_1" hidden="1">{#N/A,#N/A,FALSE,"Consolidated Financials";#N/A,#N/A,FALSE,"US Mkt";#N/A,#N/A,FALSE,"Eur Mkt"}</definedName>
    <definedName name="wrn.Utilities." localSheetId="0" hidden="1">{#N/A,#N/A,FALSE,"UTLTY"}</definedName>
    <definedName name="wrn.Utilities." hidden="1">{#N/A,#N/A,FALSE,"UTLTY"}</definedName>
    <definedName name="wrn.valuation." localSheetId="0" hidden="1">{"valuation",#N/A,FALSE,"TXTCOMPS"}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ORKING._.CAPITAL." hidden="1">{"working capital",#N/A,FALSE,"Bal. Sht.- Work Cap"}</definedName>
    <definedName name="wrn.WSTS._.Trade._.Statistics." hidden="1">{#N/A,#N/A,FALSE,"Table of Contents";#N/A,#N/A,FALSE,"Overview";#N/A,#N/A,FALSE,"Data"}</definedName>
    <definedName name="wrn.WWY." hidden="1">{#N/A,#N/A,FALSE,"WWY"}</definedName>
    <definedName name="wrn.Yearly_AMI." localSheetId="0" hidden="1">{"Yearly_AMI",#N/A,FALSE,"AMI"}</definedName>
    <definedName name="wrn.Yearly_AMI." hidden="1">{"Yearly_AMI",#N/A,FALSE,"AMI"}</definedName>
    <definedName name="wrn.Yearly_NME." localSheetId="0" hidden="1">{"Yearly_NME",#N/A,FALSE,"NME"}</definedName>
    <definedName name="wrn.Yearly_NME." hidden="1">{"Yearly_NME",#N/A,FALSE,"NME"}</definedName>
    <definedName name="wrn.Yearly_THC." localSheetId="0" hidden="1">{"Yearly_THC",#N/A,FALSE,"Earnings"}</definedName>
    <definedName name="wrn.Yearly_THC." hidden="1">{"Yearly_THC",#N/A,FALSE,"Earnings"}</definedName>
    <definedName name="wrn.YTD_ROY_PL." hidden="1">{"ROY_YTD",#N/A,FALSE,"1.2"}</definedName>
    <definedName name="wrn1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1.dcf" hidden="1">{"mgmt forecast",#N/A,FALSE,"Mgmt Forecast";"dcf table",#N/A,FALSE,"Mgmt Forecast";"sensitivity",#N/A,FALSE,"Mgmt Forecast";"table inputs",#N/A,FALSE,"Mgmt Forecast";"calculations",#N/A,FALSE,"Mgmt Forecast"}</definedName>
    <definedName name="wrn1.magilla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1.magilla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3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4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4.dcf" hidden="1">{"mgmt forecast",#N/A,FALSE,"Mgmt Forecast";"dcf table",#N/A,FALSE,"Mgmt Forecast";"sensitivity",#N/A,FALSE,"Mgmt Forecast";"table inputs",#N/A,FALSE,"Mgmt Forecast";"calculations",#N/A,FALSE,"Mgmt Forecast"}</definedName>
    <definedName name="WS" localSheetId="0" hidden="1">{"valuation",#N/A,FALSE,"TXTCOMPS"}</definedName>
    <definedName name="WS" hidden="1">{"valuation",#N/A,FALSE,"TXTCOMPS"}</definedName>
    <definedName name="wvu.Annual." localSheetId="0" hidden="1">{TRUE,TRUE,-1.25,-15.5,772.5,495.75,FALSE,FALSE,TRUE,TRUE,0,1,45,1,35,2,4,4,TRUE,TRUE,3,TRUE,1,TRUE,75,"Swvu.Annual.","ACwvu.Annual.",#N/A,FALSE,FALSE,0.75,0.75,1,1,2,"","",FALSE,FALSE,FALSE,FALSE,1,60,#N/A,#N/A,"=R1C41:R53C55",FALSE,"Rwvu.Annual.",#N/A,FALSE,FALSE,TRUE,1,300,300,FALSE,FALSE,TRUE,TRUE,TRUE}</definedName>
    <definedName name="wvu.Annual." hidden="1">{TRUE,TRUE,-1.25,-15.5,772.5,495.75,FALSE,FALSE,TRUE,TRUE,0,1,45,1,35,2,4,4,TRUE,TRUE,3,TRUE,1,TRUE,75,"Swvu.Annual.","ACwvu.Annual.",#N/A,FALSE,FALSE,0.75,0.75,1,1,2,"","",FALSE,FALSE,FALSE,FALSE,1,60,#N/A,#N/A,"=R1C41:R53C55",FALSE,"Rwvu.Annual.",#N/A,FALSE,FALSE,TRUE,1,300,300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Quarterly." localSheetId="0" hidden="1">{TRUE,TRUE,-1.25,-15.5,772.5,495.75,FALSE,FALSE,TRUE,TRUE,0,1,3,1,23,2,4,4,TRUE,TRUE,3,TRUE,1,TRUE,75,"Swvu.Quarterly.","ACwvu.Quarterly.",#N/A,FALSE,FALSE,0.75,0.75,1,1,2,"","&amp;L&amp;D&amp;T",FALSE,FALSE,FALSE,FALSE,1,70,#N/A,#N/A,"=R1C1:R53C23",FALSE,#N/A,#N/A,FALSE,FALSE,FALSE,1,300,300,FALSE,FALSE,TRUE,TRUE,TRUE}</definedName>
    <definedName name="wvu.Quarterly." hidden="1">{TRUE,TRUE,-1.25,-15.5,772.5,495.75,FALSE,FALSE,TRUE,TRUE,0,1,3,1,23,2,4,4,TRUE,TRUE,3,TRUE,1,TRUE,75,"Swvu.Quarterly.","ACwvu.Quarterly.",#N/A,FALSE,FALSE,0.75,0.75,1,1,2,"","&amp;L&amp;D&amp;T",FALSE,FALSE,FALSE,FALSE,1,70,#N/A,#N/A,"=R1C1:R53C23",FALSE,#N/A,#N/A,FALSE,FALSE,FALSE,1,300,300,FALSE,FALSE,TRUE,TRUE,TRUE}</definedName>
    <definedName name="wvu.Quarterlycompare." localSheetId="0" hidden="1">{TRUE,TRUE,-1.25,-15.5,772.5,495.75,FALSE,FALSE,TRUE,TRUE,0,1,22,1,5,2,4,4,TRUE,TRUE,3,TRUE,1,TRUE,75,"Swvu.Quarterlycompare.","ACwvu.Quarterlycompare.",#N/A,FALSE,FALSE,0.75,0.75,1,1,2,"","&amp;L&amp;D&amp;T",FALSE,FALSE,FALSE,FALSE,1,80,#N/A,#N/A,"=R1C23:R46C39",FALSE,#N/A,#N/A,FALSE,FALSE,FALSE,1,300,300,FALSE,FALSE,TRUE,TRUE,TRUE}</definedName>
    <definedName name="wvu.Quarterlycompare." hidden="1">{TRUE,TRUE,-1.25,-15.5,772.5,495.75,FALSE,FALSE,TRUE,TRUE,0,1,22,1,5,2,4,4,TRUE,TRUE,3,TRUE,1,TRUE,75,"Swvu.Quarterlycompare.","ACwvu.Quarterlycompare.",#N/A,FALSE,FALSE,0.75,0.75,1,1,2,"","&amp;L&amp;D&amp;T",FALSE,FALSE,FALSE,FALSE,1,80,#N/A,#N/A,"=R1C23:R46C39",FALSE,#N/A,#N/A,FALSE,FALSE,FALSE,1,300,300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wererwrwersf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wererwrwers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ww" localSheetId="0" hidden="1">{"mgmt forecast",#N/A,FALSE,"Mgmt Forecast";"dcf table",#N/A,FALSE,"Mgmt Forecast";"sensitivity",#N/A,FALSE,"Mgmt Forecast";"table inputs",#N/A,FALSE,"Mgmt Forecast";"calculations",#N/A,FALSE,"Mgmt Forecast"}</definedName>
    <definedName name="www" hidden="1">{"mgmt forecast",#N/A,FALSE,"Mgmt Forecast";"dcf table",#N/A,FALSE,"Mgmt Forecast";"sensitivity",#N/A,FALSE,"Mgmt Forecast";"table inputs",#N/A,FALSE,"Mgmt Forecast";"calculations",#N/A,FALSE,"Mgmt Forecast"}</definedName>
    <definedName name="wwww" hidden="1">#REF!</definedName>
    <definedName name="wwwwwwww" hidden="1">#REF!</definedName>
    <definedName name="wwwwwwwwwwwwwwww" hidden="1">#REF!</definedName>
    <definedName name="x" localSheetId="0" hidden="1">{#N/A,#N/A,TRUE,"Sheet2";"Admin Expense",#N/A,TRUE,"Sheet1";"Gross Profit",#N/A,TRUE,"Sheet1";"Product Support",#N/A,TRUE,"Sheet1"}</definedName>
    <definedName name="x" hidden="1">{"'Standalone List Price Trends'!$A$1:$X$56"}</definedName>
    <definedName name="xd" localSheetId="0" hidden="1">{#N/A,#N/A,FALSE,"Performance_Products_Sold"}</definedName>
    <definedName name="xd" hidden="1">{#N/A,#N/A,FALSE,"Performance_Products_Sold"}</definedName>
    <definedName name="xlsidofsifs" hidden="1">{#N/A,#N/A,FALSE,"Consolidated Financials";#N/A,#N/A,FALSE,"US Mkt";#N/A,#N/A,FALSE,"Eur Mkt"}</definedName>
    <definedName name="XS" localSheetId="0" hidden="1">{"Linda Robens",#N/A,FALSE,"AM";"Robens Summary",#N/A,FALSE,"AM"}</definedName>
    <definedName name="XS" hidden="1">{"Linda Robens",#N/A,FALSE,"AM";"Robens Summary",#N/A,FALSE,"AM"}</definedName>
    <definedName name="xw" localSheetId="0" hidden="1">{#N/A,#N/A,FALSE,"Performance_Products_Sold"}</definedName>
    <definedName name="xw" hidden="1">{#N/A,#N/A,FALSE,"Performance_Products_Sold"}</definedName>
    <definedName name="xxx" hidden="1">#REF!</definedName>
    <definedName name="xxxx" localSheetId="0" hidden="1">{"Rank View 1",#N/A,FALSE,"Forecast Model";"Rank View 2",#N/A,FALSE,"Forecast Model"}</definedName>
    <definedName name="xxxx" hidden="1">{"Rank View 1",#N/A,FALSE,"Forecast Model";"Rank View 2",#N/A,FALSE,"Forecast Model"}</definedName>
    <definedName name="xyz" hidden="1">{"histincome",#N/A,FALSE,"hyfins";"closing balance",#N/A,FALSE,"hyfins"}</definedName>
    <definedName name="XZ" localSheetId="0" hidden="1">{#N/A,#N/A,FALSE,"Performance_Products_Sold"}</definedName>
    <definedName name="XZ" hidden="1">{#N/A,#N/A,FALSE,"Performance_Products_Sold"}</definedName>
    <definedName name="y" localSheetId="0" hidden="1">{#N/A,#N/A,FALSE,"Performance_Products_Sold"}</definedName>
    <definedName name="y" hidden="1">{"balance sheet ex",#N/A,FALSE,"Bal. Sht.- Work Cap"}</definedName>
    <definedName name="yes" localSheetId="0" hidden="1">{#N/A,#N/A,FALSE,"Performance_Products_Sold"}</definedName>
    <definedName name="yes" hidden="1">{#N/A,#N/A,FALSE,"Performance_Products_Sold"}</definedName>
    <definedName name="yrto" hidden="1">#N/A</definedName>
    <definedName name="YT" localSheetId="0" hidden="1">{"Linda Robens",#N/A,FALSE,"AM";"Robens Summary",#N/A,FALSE,"AM"}</definedName>
    <definedName name="YT" hidden="1">{"Linda Robens",#N/A,FALSE,"AM";"Robens Summary",#N/A,FALSE,"AM"}</definedName>
    <definedName name="yu" localSheetId="0" hidden="1">{#N/A,#N/A,FALSE,"Performance_Products_Sold"}</definedName>
    <definedName name="yu" hidden="1">{#N/A,#N/A,FALSE,"Performance_Products_Sold"}</definedName>
    <definedName name="yyy" localSheetId="0" hidden="1">{"Financial Assumptions",#N/A,FALSE,"RF Summary";"Sales Repsonse Graphs",#N/A,FALSE,"RF Summary"}</definedName>
    <definedName name="yyy" hidden="1">{"Financial Assumptions",#N/A,FALSE,"RF Summary";"Sales Repsonse Graphs",#N/A,FALSE,"RF Summary"}</definedName>
    <definedName name="z" localSheetId="0" hidden="1">{#N/A,#N/A,FALSE,"Performance_Products_Sold"}</definedName>
    <definedName name="z" hidden="1">{#N/A,#N/A,FALSE,"e-Svc Level";#N/A,#N/A,FALSE,"e-Hosted";#N/A,#N/A,FALSE,"e-Licensed";#N/A,#N/A,FALSE,"Assumptions"}</definedName>
    <definedName name="Z_00755AD1_0C27_49F2_9F97_31FC86F07979_.wvu.Rows" hidden="1">#REF!</definedName>
    <definedName name="Z_090E95BF_3048_11D2_8509_00A0246D366B_.wvu.PrintArea" hidden="1">#N/A</definedName>
    <definedName name="Z_090E95C1_3048_11D2_8509_00A0246D366B_.wvu.PrintArea" hidden="1">#N/A</definedName>
    <definedName name="Z_090E95C3_3048_11D2_8509_00A0246D366B_.wvu.PrintArea" hidden="1">#N/A</definedName>
    <definedName name="Z_1E774124_3DB4_427D_9EA3_B7C3595FA85B_.wvu.Cols" hidden="1">#REF!,#REF!</definedName>
    <definedName name="Z_1E774124_3DB4_427D_9EA3_B7C3595FA85B_.wvu.PrintArea" hidden="1">#REF!</definedName>
    <definedName name="Z_1E774124_3DB4_427D_9EA3_B7C3595FA85B_.wvu.PrintTitles" hidden="1">#REF!</definedName>
    <definedName name="Z_1E774124_3DB4_427D_9EA3_B7C3595FA85B_.wvu.Rows" hidden="1">#REF!</definedName>
    <definedName name="Z_22B84546_2C55_11D2_8507_00A0246D366B_.wvu.PrintArea" hidden="1">#N/A</definedName>
    <definedName name="Z_22B84548_2C55_11D2_8507_00A0246D366B_.wvu.PrintArea" hidden="1">#N/A</definedName>
    <definedName name="Z_22B8454A_2C55_11D2_8507_00A0246D366B_.wvu.PrintArea" hidden="1">#N/A</definedName>
    <definedName name="Z_23CDA1D2_24E2_11D2_9AE0_000000000000_.wvu.PrintArea" hidden="1">#N/A</definedName>
    <definedName name="Z_23CDA1D3_24E2_11D2_9AE0_000000000000_.wvu.PrintArea" hidden="1">#N/A</definedName>
    <definedName name="Z_23CDA1D4_24E2_11D2_9AE0_000000000000_.wvu.PrintArea" hidden="1">#N/A</definedName>
    <definedName name="Z_256A4A84_1FC3_11D2_84FA_00A0246D366B_.wvu.PrintArea" hidden="1">#N/A</definedName>
    <definedName name="Z_256A4A85_1FC3_11D2_84FA_00A0246D366B_.wvu.PrintArea" hidden="1">#N/A</definedName>
    <definedName name="Z_256A4A86_1FC3_11D2_84FA_00A0246D366B_.wvu.PrintArea" hidden="1">#N/A</definedName>
    <definedName name="Z_256A4A8A_1FC3_11D2_84FA_00A0246D366B_.wvu.PrintArea" hidden="1">#N/A</definedName>
    <definedName name="Z_256A4A8B_1FC3_11D2_84FA_00A0246D366B_.wvu.PrintArea" hidden="1">#N/A</definedName>
    <definedName name="Z_256A4A8C_1FC3_11D2_84FA_00A0246D366B_.wvu.PrintArea" hidden="1">#N/A</definedName>
    <definedName name="Z_256A4A90_1FC3_11D2_84FA_00A0246D366B_.wvu.PrintArea" hidden="1">#N/A</definedName>
    <definedName name="Z_256A4A91_1FC3_11D2_84FA_00A0246D366B_.wvu.PrintArea" hidden="1">#N/A</definedName>
    <definedName name="Z_256A4A92_1FC3_11D2_84FA_00A0246D366B_.wvu.PrintArea" hidden="1">#N/A</definedName>
    <definedName name="Z_256A4AA0_1FC3_11D2_84FA_00A0246D366B_.wvu.PrintArea" hidden="1">#N/A</definedName>
    <definedName name="Z_256A4AA1_1FC3_11D2_84FA_00A0246D366B_.wvu.PrintArea" hidden="1">#N/A</definedName>
    <definedName name="Z_256A4AA2_1FC3_11D2_84FA_00A0246D366B_.wvu.PrintArea" hidden="1">#N/A</definedName>
    <definedName name="Z_32314C6C_966E_4476_94B1_F59CAA935CB9_.wvu.Rows" hidden="1">#REF!,#REF!,#REF!,#REF!,#REF!,#REF!</definedName>
    <definedName name="Z_3453CBA4_59ED_11D2_8526_00A0246D366B_.wvu.PrintArea" hidden="1">#N/A</definedName>
    <definedName name="Z_3453CBA6_59ED_11D2_8526_00A0246D366B_.wvu.PrintArea" hidden="1">#N/A</definedName>
    <definedName name="Z_3453CBA8_59ED_11D2_8526_00A0246D366B_.wvu.PrintArea" hidden="1">#N/A</definedName>
    <definedName name="Z_35EE6504_DE6F_4E57_9C0F_322110BA2375_.wvu.Cols" hidden="1">#REF!</definedName>
    <definedName name="Z_35EE6504_DE6F_4E57_9C0F_322110BA2375_.wvu.PrintTitles" hidden="1">#REF!,#REF!</definedName>
    <definedName name="Z_3A5E8553_2221_11D2_84FE_00A0246D366B_.wvu.PrintArea" hidden="1">#N/A</definedName>
    <definedName name="Z_3A5E8554_2221_11D2_84FE_00A0246D366B_.wvu.PrintArea" hidden="1">#N/A</definedName>
    <definedName name="Z_3A5E8555_2221_11D2_84FE_00A0246D366B_.wvu.PrintArea" hidden="1">#N/A</definedName>
    <definedName name="Z_3BE6BCC4_2DEA_11D2_8508_00A0246D366B_.wvu.PrintArea" hidden="1">#N/A</definedName>
    <definedName name="Z_3BE6BCC6_2DEA_11D2_8508_00A0246D366B_.wvu.PrintArea" hidden="1">#N/A</definedName>
    <definedName name="Z_3BE6BCC8_2DEA_11D2_8508_00A0246D366B_.wvu.PrintArea" hidden="1">#N/A</definedName>
    <definedName name="Z_3BE6BCE6_2DEA_11D2_8508_00A0246D366B_.wvu.PrintArea" hidden="1">#N/A</definedName>
    <definedName name="Z_3BE6BCE8_2DEA_11D2_8508_00A0246D366B_.wvu.PrintArea" hidden="1">#N/A</definedName>
    <definedName name="Z_3BE6BCEA_2DEA_11D2_8508_00A0246D366B_.wvu.PrintArea" hidden="1">#N/A</definedName>
    <definedName name="Z_4632451C_2AC2_11D2_8505_00A0246D366B_.wvu.PrintArea" hidden="1">#N/A</definedName>
    <definedName name="Z_4632451D_2AC2_11D2_8505_00A0246D366B_.wvu.PrintArea" hidden="1">#N/A</definedName>
    <definedName name="Z_4632451E_2AC2_11D2_8505_00A0246D366B_.wvu.PrintArea" hidden="1">#N/A</definedName>
    <definedName name="Z_4AEDCBF1_22EE_11D2_84FF_00A0246D366B_.wvu.PrintArea" hidden="1">#N/A</definedName>
    <definedName name="Z_4AEDCBF2_22EE_11D2_84FF_00A0246D366B_.wvu.PrintArea" hidden="1">#N/A</definedName>
    <definedName name="Z_4AEDCBF3_22EE_11D2_84FF_00A0246D366B_.wvu.PrintArea" hidden="1">#N/A</definedName>
    <definedName name="Z_4BAC34C6_2153_11D2_84FD_00A0246D366B_.wvu.PrintArea" hidden="1">#N/A</definedName>
    <definedName name="Z_4BAC34C7_2153_11D2_84FD_00A0246D366B_.wvu.PrintArea" hidden="1">#N/A</definedName>
    <definedName name="Z_4BAC34C8_2153_11D2_84FD_00A0246D366B_.wvu.PrintArea" hidden="1">#N/A</definedName>
    <definedName name="Z_59DDA7E5_286F_11D2_8504_00A0246D366B_.wvu.PrintArea" hidden="1">#N/A</definedName>
    <definedName name="Z_59DDA7E6_286F_11D2_8504_00A0246D366B_.wvu.PrintArea" hidden="1">#N/A</definedName>
    <definedName name="Z_59DDA7E7_286F_11D2_8504_00A0246D366B_.wvu.PrintArea" hidden="1">#N/A</definedName>
    <definedName name="Z_59DDA80E_286F_11D2_8504_00A0246D366B_.wvu.PrintArea" hidden="1">#N/A</definedName>
    <definedName name="Z_59DDA80F_286F_11D2_8504_00A0246D366B_.wvu.PrintArea" hidden="1">#N/A</definedName>
    <definedName name="Z_59DDA810_286F_11D2_8504_00A0246D366B_.wvu.PrintArea" hidden="1">#N/A</definedName>
    <definedName name="Z_5A3DA5C3_1B10_11D2_84F7_00A0246D366B_.wvu.PrintArea" hidden="1">#N/A</definedName>
    <definedName name="Z_5A3DA5C4_1B10_11D2_84F7_00A0246D366B_.wvu.PrintArea" hidden="1">#N/A</definedName>
    <definedName name="Z_5A3DA5C5_1B10_11D2_84F7_00A0246D366B_.wvu.PrintArea" hidden="1">#N/A</definedName>
    <definedName name="Z_5A3DA5C8_1B10_11D2_84F7_00A0246D366B_.wvu.PrintArea" hidden="1">#N/A</definedName>
    <definedName name="Z_5A3DA5C9_1B10_11D2_84F7_00A0246D366B_.wvu.PrintArea" hidden="1">#N/A</definedName>
    <definedName name="Z_5A3DA5CA_1B10_11D2_84F7_00A0246D366B_.wvu.PrintArea" hidden="1">#N/A</definedName>
    <definedName name="Z_5A3DA5E6_1B10_11D2_84F7_00A0246D366B_.wvu.PrintArea" hidden="1">#N/A</definedName>
    <definedName name="Z_5A3DA5E7_1B10_11D2_84F7_00A0246D366B_.wvu.PrintArea" hidden="1">#N/A</definedName>
    <definedName name="Z_5A3DA5E8_1B10_11D2_84F7_00A0246D366B_.wvu.PrintArea" hidden="1">#N/A</definedName>
    <definedName name="Z_65E7A2B3_5DDA_11D2_8529_00A0246D366B_.wvu.PrintArea" hidden="1">#N/A</definedName>
    <definedName name="Z_6DE65CBA_310B_11D2_850A_00A0246D366B_.wvu.PrintArea" hidden="1">#N/A</definedName>
    <definedName name="Z_6DE65CBB_310B_11D2_850A_00A0246D366B_.wvu.PrintArea" hidden="1">#N/A</definedName>
    <definedName name="Z_6DE65CBC_310B_11D2_850A_00A0246D366B_.wvu.PrintArea" hidden="1">#N/A</definedName>
    <definedName name="Z_75B9147C_00F9_45A1_96FE_F85762BF4AE3_.wvu.Cols" hidden="1">#REF!,#REF!,#REF!</definedName>
    <definedName name="Z_75B9147C_00F9_45A1_96FE_F85762BF4AE3_.wvu.PrintTitles" hidden="1">#REF!,#REF!</definedName>
    <definedName name="Z_7A2F654B_040B_4CA4_A0BD_513F12FBEB45_.wvu.PrintTitles" hidden="1">#REF!,#REF!</definedName>
    <definedName name="Z_7EDD13EC_1A41_11D2_84F6_00A0246D366B_.wvu.PrintArea" hidden="1">#N/A</definedName>
    <definedName name="Z_7EDD13EE_1A41_11D2_84F6_00A0246D366B_.wvu.PrintArea" hidden="1">#N/A</definedName>
    <definedName name="Z_7EDD13F0_1A41_11D2_84F6_00A0246D366B_.wvu.PrintArea" hidden="1">#N/A</definedName>
    <definedName name="Z_944DAE9D_1673_11D2_84F4_00A0246D366B_.wvu.PrintArea" hidden="1">#N/A</definedName>
    <definedName name="Z_944DAE9F_1673_11D2_84F4_00A0246D366B_.wvu.PrintArea" hidden="1">#N/A</definedName>
    <definedName name="Z_944DAEA1_1673_11D2_84F4_00A0246D366B_.wvu.PrintArea" hidden="1">#N/A</definedName>
    <definedName name="Z_96ABFF44_2D22_11D2_8508_00A0246D366B_.wvu.PrintArea" hidden="1">#N/A</definedName>
    <definedName name="Z_96ABFF46_2D22_11D2_8508_00A0246D366B_.wvu.PrintArea" hidden="1">#N/A</definedName>
    <definedName name="Z_96ABFF48_2D22_11D2_8508_00A0246D366B_.wvu.PrintArea" hidden="1">#N/A</definedName>
    <definedName name="Z_96ABFF72_2D22_11D2_8508_00A0246D366B_.wvu.PrintArea" hidden="1">#N/A</definedName>
    <definedName name="Z_96ABFF74_2D22_11D2_8508_00A0246D366B_.wvu.PrintArea" hidden="1">#N/A</definedName>
    <definedName name="Z_96ABFF76_2D22_11D2_8508_00A0246D366B_.wvu.PrintArea" hidden="1">#N/A</definedName>
    <definedName name="Z_98856ABD_1C19_11D2_857F_00A024D736B0_.wvu.PrintArea" hidden="1">#N/A</definedName>
    <definedName name="Z_98856ABE_1C19_11D2_857F_00A024D736B0_.wvu.PrintArea" hidden="1">#N/A</definedName>
    <definedName name="Z_98856ABF_1C19_11D2_857F_00A024D736B0_.wvu.PrintArea" hidden="1">#N/A</definedName>
    <definedName name="Z_9ADE8947_88DB_4B28_8A3B_C02DD06D3FE7_.wvu.Rows" hidden="1">#REF!,#REF!,#REF!,#REF!,#REF!,#REF!,#REF!</definedName>
    <definedName name="Z_9D6128E0_47DD_11D2_8518_00A0246D366B_.wvu.PrintArea" hidden="1">#N/A</definedName>
    <definedName name="Z_9D6128E2_47DD_11D2_8518_00A0246D366B_.wvu.PrintArea" hidden="1">#N/A</definedName>
    <definedName name="Z_9D6128E4_47DD_11D2_8518_00A0246D366B_.wvu.PrintArea" hidden="1">#N/A</definedName>
    <definedName name="Z_A63A1DD9_260F_11D2_8501_00A0246D366B_.wvu.PrintArea" hidden="1">#N/A</definedName>
    <definedName name="Z_A63A1DDA_260F_11D2_8501_00A0246D366B_.wvu.PrintArea" hidden="1">#N/A</definedName>
    <definedName name="Z_A63A1DDB_260F_11D2_8501_00A0246D366B_.wvu.PrintArea" hidden="1">#N/A</definedName>
    <definedName name="Z_AFBF65A1_2E04_11D2_8583_00A024D736B0_.wvu.PrintArea" hidden="1">#N/A</definedName>
    <definedName name="Z_AFBF65A3_2E04_11D2_8583_00A024D736B0_.wvu.PrintArea" hidden="1">#N/A</definedName>
    <definedName name="Z_AFBF65A5_2E04_11D2_8583_00A024D736B0_.wvu.PrintArea" hidden="1">#N/A</definedName>
    <definedName name="Z_B2F910C6_2B8F_11D2_8506_00A0246D366B_.wvu.PrintArea" hidden="1">#N/A</definedName>
    <definedName name="Z_B2F910C8_2B8F_11D2_8506_00A0246D366B_.wvu.PrintArea" hidden="1">#N/A</definedName>
    <definedName name="Z_B2F910CA_2B8F_11D2_8506_00A0246D366B_.wvu.PrintArea" hidden="1">#N/A</definedName>
    <definedName name="Z_B2F910EA_2B8F_11D2_8506_00A0246D366B_.wvu.PrintArea" hidden="1">#N/A</definedName>
    <definedName name="Z_B2F910EC_2B8F_11D2_8506_00A0246D366B_.wvu.PrintArea" hidden="1">#N/A</definedName>
    <definedName name="Z_B2F910EE_2B8F_11D2_8506_00A0246D366B_.wvu.PrintArea" hidden="1">#N/A</definedName>
    <definedName name="Z_B3B99CD4_2547_11D2_8500_00A0246D366B_.wvu.PrintArea" hidden="1">#N/A</definedName>
    <definedName name="Z_B3B99CD5_2547_11D2_8500_00A0246D366B_.wvu.PrintArea" hidden="1">#N/A</definedName>
    <definedName name="Z_B3B99CD6_2547_11D2_8500_00A0246D366B_.wvu.PrintArea" hidden="1">#N/A</definedName>
    <definedName name="Z_B3B99CDB_2547_11D2_8500_00A0246D366B_.wvu.PrintArea" hidden="1">#N/A</definedName>
    <definedName name="Z_B3B99CDC_2547_11D2_8500_00A0246D366B_.wvu.PrintArea" hidden="1">#N/A</definedName>
    <definedName name="Z_B3B99CDD_2547_11D2_8500_00A0246D366B_.wvu.PrintArea" hidden="1">#N/A</definedName>
    <definedName name="Z_B3B99CFF_2547_11D2_8500_00A0246D366B_.wvu.PrintArea" hidden="1">#N/A</definedName>
    <definedName name="Z_B3B99D00_2547_11D2_8500_00A0246D366B_.wvu.PrintArea" hidden="1">#N/A</definedName>
    <definedName name="Z_B3B99D01_2547_11D2_8500_00A0246D366B_.wvu.PrintArea" hidden="1">#N/A</definedName>
    <definedName name="Z_B52A5BF2_28A6_11D2_8582_00A024D736B0_.wvu.PrintArea" hidden="1">#N/A</definedName>
    <definedName name="Z_B52A5BF3_28A6_11D2_8582_00A024D736B0_.wvu.PrintArea" hidden="1">#N/A</definedName>
    <definedName name="Z_B52A5BF4_28A6_11D2_8582_00A024D736B0_.wvu.PrintArea" hidden="1">#N/A</definedName>
    <definedName name="Z_B58EF285_2496_11D2_9AE0_000000000000_.wvu.PrintArea" hidden="1">#N/A</definedName>
    <definedName name="Z_B58EF286_2496_11D2_9AE0_000000000000_.wvu.PrintArea" hidden="1">#N/A</definedName>
    <definedName name="Z_B58EF287_2496_11D2_9AE0_000000000000_.wvu.PrintArea" hidden="1">#N/A</definedName>
    <definedName name="Z_B58EF28C_2496_11D2_9AE0_000000000000_.wvu.PrintArea" hidden="1">#N/A</definedName>
    <definedName name="Z_B58EF28D_2496_11D2_9AE0_000000000000_.wvu.PrintArea" hidden="1">#N/A</definedName>
    <definedName name="Z_B58EF28E_2496_11D2_9AE0_000000000000_.wvu.PrintArea" hidden="1">#N/A</definedName>
    <definedName name="Z_B6137133_27A4_11D2_8503_00A0246D366B_.wvu.PrintArea" hidden="1">#N/A</definedName>
    <definedName name="Z_B6137134_27A4_11D2_8503_00A0246D366B_.wvu.PrintArea" hidden="1">#N/A</definedName>
    <definedName name="Z_B6137135_27A4_11D2_8503_00A0246D366B_.wvu.PrintArea" hidden="1">#N/A</definedName>
    <definedName name="Z_B6137158_27A4_11D2_8503_00A0246D366B_.wvu.PrintArea" hidden="1">#N/A</definedName>
    <definedName name="Z_B6137159_27A4_11D2_8503_00A0246D366B_.wvu.PrintArea" hidden="1">#N/A</definedName>
    <definedName name="Z_B613715A_27A4_11D2_8503_00A0246D366B_.wvu.PrintArea" hidden="1">#N/A</definedName>
    <definedName name="Z_B6336CF9_9221_4D20_9BCC_AC01EA989C5C_.wvu.Cols" hidden="1">#REF!,#REF!,#REF!</definedName>
    <definedName name="Z_B6336CF9_9221_4D20_9BCC_AC01EA989C5C_.wvu.PrintTitles" hidden="1">#REF!,#REF!</definedName>
    <definedName name="Z_B7EF290F_8BB6_4090_9A9A_66648A3F7039_.wvu.PrintTitles" hidden="1">#REF!,#REF!</definedName>
    <definedName name="Z_BCDC2A74_10E2_11D2_84F0_00A0246D366B_.wvu.PrintArea" hidden="1">#N/A</definedName>
    <definedName name="Z_BCDC2A75_10E2_11D2_84F0_00A0246D366B_.wvu.PrintArea" hidden="1">#N/A</definedName>
    <definedName name="Z_BCDC2A76_10E2_11D2_84F0_00A0246D366B_.wvu.PrintArea" hidden="1">#N/A</definedName>
    <definedName name="Z_BDAFD070_1062_11D2_84EF_00A0246D366B_.wvu.PrintArea" hidden="1">#N/A</definedName>
    <definedName name="Z_BDAFD071_1062_11D2_84EF_00A0246D366B_.wvu.PrintArea" hidden="1">#N/A</definedName>
    <definedName name="Z_BDAFD072_1062_11D2_84EF_00A0246D366B_.wvu.PrintArea" hidden="1">#N/A</definedName>
    <definedName name="Z_BF4D954E_2D66_11D2_8583_00A024D736B0_.wvu.PrintArea" hidden="1">#N/A</definedName>
    <definedName name="Z_BF4D9550_2D66_11D2_8583_00A024D736B0_.wvu.PrintArea" hidden="1">#N/A</definedName>
    <definedName name="Z_BF4D9552_2D66_11D2_8583_00A024D736B0_.wvu.PrintArea" hidden="1">#N/A</definedName>
    <definedName name="Z_D74243C8_6E24_43D1_AFD0_BBACF366C3BD_.wvu.Cols" hidden="1">#REF!</definedName>
    <definedName name="Z_D7D8B9BD_934A_40F4_B1C5_71B03B7C7B7E_.wvu.PrintArea" hidden="1">#REF!</definedName>
    <definedName name="Z_D7D8B9BD_934A_40F4_B1C5_71B03B7C7B7E_.wvu.PrintTitles" hidden="1">#REF!</definedName>
    <definedName name="Z_DA43E085_5E9C_11D2_940F_00A024C5F917_.wvu.PrintArea" hidden="1">#N/A</definedName>
    <definedName name="Z_DA43E088_5E9C_11D2_940F_00A024C5F917_.wvu.PrintArea" hidden="1">#N/A</definedName>
    <definedName name="Z_DA5547A6_1012_11D2_84EF_00A0246D366B_.wvu.PrintArea" hidden="1">#N/A</definedName>
    <definedName name="Z_DA5547A7_1012_11D2_84EF_00A0246D366B_.wvu.PrintArea" hidden="1">#N/A</definedName>
    <definedName name="Z_DA5547A8_1012_11D2_84EF_00A0246D366B_.wvu.PrintArea" hidden="1">#N/A</definedName>
    <definedName name="Z_DEBADDF0_1CBD_11D2_84F9_00A0246D366B_.wvu.PrintArea" hidden="1">#N/A</definedName>
    <definedName name="Z_DEBADDF1_1CBD_11D2_84F9_00A0246D366B_.wvu.PrintArea" hidden="1">#N/A</definedName>
    <definedName name="Z_DEBADDF2_1CBD_11D2_84F9_00A0246D366B_.wvu.PrintArea" hidden="1">#N/A</definedName>
    <definedName name="Z_E2E5C84D_0317_4C6A_9480_DE153328A143_.wvu.PrintTitles" hidden="1">#REF!,#REF!</definedName>
    <definedName name="Z_E308DEC8_15E7_11D4_94E8_00C04FA08B91_.wvu.PrintArea" hidden="1">#N/A</definedName>
    <definedName name="Z_E308DEC9_15E7_11D4_94E8_00C04FA08B91_.wvu.PrintArea" hidden="1">#N/A</definedName>
    <definedName name="Z_E4526276_1BDC_11D2_84F8_00A0246D366B_.wvu.PrintArea" hidden="1">#N/A</definedName>
    <definedName name="Z_E4526277_1BDC_11D2_84F8_00A0246D366B_.wvu.PrintArea" hidden="1">#N/A</definedName>
    <definedName name="Z_E4526278_1BDC_11D2_84F8_00A0246D366B_.wvu.PrintArea" hidden="1">#N/A</definedName>
    <definedName name="Z_E590EC85_26D8_11D2_8502_00A0246D366B_.wvu.PrintArea" hidden="1">#N/A</definedName>
    <definedName name="Z_E590EC86_26D8_11D2_8502_00A0246D366B_.wvu.PrintArea" hidden="1">#N/A</definedName>
    <definedName name="Z_E590EC87_26D8_11D2_8502_00A0246D366B_.wvu.PrintArea" hidden="1">#N/A</definedName>
    <definedName name="Z_E5F69300_85AC_4F0E_87E1_2F6A3E0429BE_.wvu.Cols" hidden="1">#REF!</definedName>
    <definedName name="Z_E5F69300_85AC_4F0E_87E1_2F6A3E0429BE_.wvu.PrintArea" hidden="1">#REF!</definedName>
    <definedName name="Z_E5F69300_85AC_4F0E_87E1_2F6A3E0429BE_.wvu.PrintTitles" hidden="1">#REF!</definedName>
    <definedName name="Z_EAF774F0_1114_11D2_84F0_00A0246D366B_.wvu.PrintArea" hidden="1">#N/A</definedName>
    <definedName name="Z_EAF774F1_1114_11D2_84F0_00A0246D366B_.wvu.PrintArea" hidden="1">#N/A</definedName>
    <definedName name="Z_EAF774F2_1114_11D2_84F0_00A0246D366B_.wvu.PrintArea" hidden="1">#N/A</definedName>
    <definedName name="Z_F1837C9B_7BC5_48F9_A11C_077C0094B52B_.wvu.Cols" hidden="1">#REF!</definedName>
    <definedName name="ZA" localSheetId="0" hidden="1">{#N/A,#N/A,FALSE,"Performance_Products_Sold"}</definedName>
    <definedName name="ZA" hidden="1">{#N/A,#N/A,FALSE,"Performance_Products_Sold"}</definedName>
    <definedName name="ZCBF_Columns" hidden="1">"no"</definedName>
    <definedName name="ZCBF_Headers" hidden="1">"no"</definedName>
    <definedName name="ZCBF_Interval" hidden="1">"periods"</definedName>
    <definedName name="ZCBF_PasteColumns" hidden="1">"yes"</definedName>
    <definedName name="ZCBF_Period" hidden="1">"12"</definedName>
    <definedName name="ze" localSheetId="0" hidden="1">{#N/A,#N/A,FALSE,"Performance_Products_Sold"}</definedName>
    <definedName name="ze" hidden="1">{#N/A,#N/A,FALSE,"Performance_Products_Sold"}</definedName>
    <definedName name="zi" localSheetId="0" hidden="1">{#N/A,#N/A,FALSE,"Performance_Products_Sold"}</definedName>
    <definedName name="zi" hidden="1">{#N/A,#N/A,FALSE,"Performance_Products_Sold"}</definedName>
    <definedName name="zo" localSheetId="0" hidden="1">{#N/A,#N/A,FALSE,"Performance_Products_Sold"}</definedName>
    <definedName name="zo" hidden="1">{#N/A,#N/A,FALSE,"Performance_Products_Sold"}</definedName>
    <definedName name="zp" localSheetId="0" hidden="1">{"Linda Robens",#N/A,FALSE,"AM";"Robens Summary",#N/A,FALSE,"AM"}</definedName>
    <definedName name="zp" hidden="1">{"Linda Robens",#N/A,FALSE,"AM";"Robens Summary",#N/A,FALSE,"AM"}</definedName>
    <definedName name="zq" localSheetId="0" hidden="1">{"Linda Robens",#N/A,FALSE,"AM";"Robens Summary",#N/A,FALSE,"AM"}</definedName>
    <definedName name="zq" hidden="1">{"Linda Robens",#N/A,FALSE,"AM";"Robens Summary",#N/A,FALSE,"AM"}</definedName>
    <definedName name="zr" localSheetId="0" hidden="1">{#N/A,#N/A,FALSE,"Performance_Products_Sold"}</definedName>
    <definedName name="zr" hidden="1">{#N/A,#N/A,FALSE,"Performance_Products_Sold"}</definedName>
    <definedName name="zs" localSheetId="0" hidden="1">{#N/A,#N/A,FALSE,"Performance_Products_Sold"}</definedName>
    <definedName name="zs" hidden="1">{#N/A,#N/A,FALSE,"Performance_Products_Sold"}</definedName>
    <definedName name="zt" localSheetId="0" hidden="1">{#N/A,#N/A,FALSE,"Performance_Products_Sold"}</definedName>
    <definedName name="zt" hidden="1">{#N/A,#N/A,FALSE,"Performance_Products_Sold"}</definedName>
    <definedName name="zu" localSheetId="0" hidden="1">{#N/A,#N/A,FALSE,"Performance_Products_Sold"}</definedName>
    <definedName name="zu" hidden="1">{#N/A,#N/A,FALSE,"Performance_Products_Sold"}</definedName>
    <definedName name="zw" localSheetId="0" hidden="1">{#N/A,#N/A,FALSE,"Performance_Products_Sold"}</definedName>
    <definedName name="zw" hidden="1">{#N/A,#N/A,FALSE,"Performance_Products_Sold"}</definedName>
    <definedName name="zxcv" localSheetId="0" hidden="1">{#N/A,#N/A,FALSE,"Performance_Products_Sold"}</definedName>
    <definedName name="zxcv" hidden="1">{#N/A,#N/A,FALSE,"Performance_Products_Sold"}</definedName>
    <definedName name="zy" localSheetId="0" hidden="1">{"Linda Robens",#N/A,FALSE,"AM";"Robens Summary",#N/A,FALSE,"AM"}</definedName>
    <definedName name="zy" hidden="1">{"Linda Robens",#N/A,FALSE,"AM";"Robens Summary",#N/A,FALSE,"AM"}</definedName>
    <definedName name="ZZ_EVCOMOPTS" hidden="1">10</definedName>
    <definedName name="zzzz" localSheetId="0" hidden="1">{#N/A,#N/A,FALSE,"REPORTS";#N/A,#N/A,FALSE,"Summary";#N/A,#N/A,FALSE,"salessummary";#N/A,#N/A,FALSE,"cvcmsummary";#N/A,#N/A,FALSE,"cvcm%summary"}</definedName>
    <definedName name="zzzz" hidden="1">{#N/A,#N/A,FALSE,"REPORTS";#N/A,#N/A,FALSE,"Summary";#N/A,#N/A,FALSE,"salessummary";#N/A,#N/A,FALSE,"cvcmsummary";#N/A,#N/A,FALSE,"cvcm%summary"}</definedName>
    <definedName name="zzzzz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8" i="1" l="1"/>
  <c r="X66" i="1" s="1"/>
  <c r="U68" i="1"/>
  <c r="U67" i="1" s="1"/>
  <c r="R68" i="1"/>
  <c r="N68" i="1"/>
  <c r="J68" i="1"/>
  <c r="J66" i="1" s="1"/>
  <c r="G68" i="1"/>
  <c r="G65" i="1" s="1"/>
  <c r="D68" i="1"/>
  <c r="D65" i="1" s="1"/>
  <c r="X67" i="1"/>
  <c r="R67" i="1"/>
  <c r="N67" i="1"/>
  <c r="G67" i="1"/>
  <c r="D67" i="1"/>
  <c r="R66" i="1"/>
  <c r="N66" i="1"/>
  <c r="D66" i="1"/>
  <c r="X65" i="1"/>
  <c r="R65" i="1"/>
  <c r="N65" i="1"/>
  <c r="J65" i="1"/>
  <c r="X62" i="1"/>
  <c r="W62" i="1"/>
  <c r="V62" i="1"/>
  <c r="U62" i="1"/>
  <c r="T62" i="1"/>
  <c r="S62" i="1"/>
  <c r="R62" i="1"/>
  <c r="Q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F36" i="1"/>
  <c r="P32" i="1"/>
  <c r="O32" i="1"/>
  <c r="N32" i="1"/>
  <c r="M32" i="1"/>
  <c r="L32" i="1"/>
  <c r="E32" i="1"/>
  <c r="F31" i="1"/>
  <c r="G31" i="1" s="1"/>
  <c r="E31" i="1"/>
  <c r="H30" i="1"/>
  <c r="H29" i="1" s="1"/>
  <c r="H36" i="1" s="1"/>
  <c r="G30" i="1"/>
  <c r="G29" i="1" s="1"/>
  <c r="G36" i="1" s="1"/>
  <c r="F30" i="1"/>
  <c r="E30" i="1"/>
  <c r="F29" i="1"/>
  <c r="H26" i="1"/>
  <c r="I26" i="1" s="1"/>
  <c r="G26" i="1"/>
  <c r="F26" i="1"/>
  <c r="E26" i="1"/>
  <c r="G25" i="1"/>
  <c r="H25" i="1" s="1"/>
  <c r="I25" i="1" s="1"/>
  <c r="J25" i="1" s="1"/>
  <c r="K25" i="1" s="1"/>
  <c r="L25" i="1" s="1"/>
  <c r="M25" i="1" s="1"/>
  <c r="N25" i="1" s="1"/>
  <c r="O25" i="1" s="1"/>
  <c r="P25" i="1" s="1"/>
  <c r="F25" i="1"/>
  <c r="P20" i="1"/>
  <c r="O20" i="1"/>
  <c r="N20" i="1"/>
  <c r="M20" i="1"/>
  <c r="L20" i="1"/>
  <c r="K20" i="1"/>
  <c r="J20" i="1"/>
  <c r="I20" i="1"/>
  <c r="H20" i="1"/>
  <c r="H21" i="1" s="1"/>
  <c r="H22" i="1" s="1"/>
  <c r="G20" i="1"/>
  <c r="G21" i="1" s="1"/>
  <c r="G22" i="1" s="1"/>
  <c r="F20" i="1"/>
  <c r="F21" i="1" s="1"/>
  <c r="F22" i="1" s="1"/>
  <c r="E20" i="1"/>
  <c r="E21" i="1" s="1"/>
  <c r="E22" i="1" s="1"/>
  <c r="P19" i="1"/>
  <c r="O19" i="1"/>
  <c r="N19" i="1"/>
  <c r="M19" i="1"/>
  <c r="L19" i="1"/>
  <c r="K19" i="1"/>
  <c r="J19" i="1"/>
  <c r="I19" i="1"/>
  <c r="H19" i="1"/>
  <c r="G19" i="1"/>
  <c r="F19" i="1"/>
  <c r="E19" i="1"/>
  <c r="E16" i="1"/>
  <c r="F16" i="1" s="1"/>
  <c r="F15" i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E15" i="1"/>
  <c r="E12" i="1"/>
  <c r="F12" i="1" s="1"/>
  <c r="F11" i="1"/>
  <c r="E11" i="1"/>
  <c r="P9" i="1"/>
  <c r="O9" i="1"/>
  <c r="N9" i="1"/>
  <c r="M9" i="1"/>
  <c r="H9" i="1"/>
  <c r="G9" i="1"/>
  <c r="F9" i="1"/>
  <c r="E9" i="1"/>
  <c r="E29" i="1" s="1"/>
  <c r="E36" i="1" s="1"/>
  <c r="P8" i="1"/>
  <c r="O8" i="1"/>
  <c r="N8" i="1"/>
  <c r="M8" i="1"/>
  <c r="L8" i="1"/>
  <c r="L9" i="1" s="1"/>
  <c r="K8" i="1"/>
  <c r="J8" i="1"/>
  <c r="J9" i="1" s="1"/>
  <c r="I8" i="1"/>
  <c r="H8" i="1"/>
  <c r="G8" i="1"/>
  <c r="F8" i="1"/>
  <c r="E8" i="1"/>
  <c r="F23" i="1" l="1"/>
  <c r="F24" i="1" s="1"/>
  <c r="F13" i="1"/>
  <c r="F14" i="1" s="1"/>
  <c r="G12" i="1"/>
  <c r="J26" i="1"/>
  <c r="I21" i="1"/>
  <c r="I22" i="1" s="1"/>
  <c r="G32" i="1"/>
  <c r="H31" i="1"/>
  <c r="G16" i="1"/>
  <c r="F17" i="1"/>
  <c r="F18" i="1" s="1"/>
  <c r="U66" i="1"/>
  <c r="I30" i="1"/>
  <c r="F32" i="1"/>
  <c r="U65" i="1"/>
  <c r="I9" i="1"/>
  <c r="E13" i="1"/>
  <c r="E14" i="1" s="1"/>
  <c r="K9" i="1"/>
  <c r="G11" i="1"/>
  <c r="G66" i="1"/>
  <c r="J67" i="1"/>
  <c r="E17" i="1"/>
  <c r="E18" i="1" s="1"/>
  <c r="J21" i="1" l="1"/>
  <c r="J22" i="1" s="1"/>
  <c r="K26" i="1"/>
  <c r="E23" i="1"/>
  <c r="E24" i="1" s="1"/>
  <c r="G17" i="1"/>
  <c r="G18" i="1" s="1"/>
  <c r="H16" i="1"/>
  <c r="G13" i="1"/>
  <c r="G14" i="1" s="1"/>
  <c r="H12" i="1"/>
  <c r="I31" i="1"/>
  <c r="H32" i="1"/>
  <c r="H11" i="1"/>
  <c r="G23" i="1"/>
  <c r="G24" i="1" s="1"/>
  <c r="F27" i="1"/>
  <c r="F28" i="1"/>
  <c r="I29" i="1"/>
  <c r="I36" i="1" s="1"/>
  <c r="J30" i="1"/>
  <c r="J31" i="1" l="1"/>
  <c r="I32" i="1"/>
  <c r="K30" i="1"/>
  <c r="J29" i="1"/>
  <c r="J36" i="1" s="1"/>
  <c r="H13" i="1"/>
  <c r="H14" i="1" s="1"/>
  <c r="I12" i="1"/>
  <c r="F33" i="1"/>
  <c r="F35" i="1"/>
  <c r="F37" i="1" s="1"/>
  <c r="H17" i="1"/>
  <c r="H18" i="1" s="1"/>
  <c r="I16" i="1"/>
  <c r="G28" i="1"/>
  <c r="G27" i="1"/>
  <c r="E28" i="1"/>
  <c r="E27" i="1"/>
  <c r="H23" i="1"/>
  <c r="H24" i="1" s="1"/>
  <c r="I11" i="1"/>
  <c r="L26" i="1"/>
  <c r="K21" i="1"/>
  <c r="K22" i="1" s="1"/>
  <c r="J11" i="1" l="1"/>
  <c r="I23" i="1"/>
  <c r="I24" i="1" s="1"/>
  <c r="H28" i="1"/>
  <c r="H27" i="1"/>
  <c r="G35" i="1"/>
  <c r="G37" i="1" s="1"/>
  <c r="G33" i="1"/>
  <c r="K31" i="1"/>
  <c r="K32" i="1" s="1"/>
  <c r="J32" i="1"/>
  <c r="E33" i="1"/>
  <c r="E35" i="1"/>
  <c r="J16" i="1"/>
  <c r="I17" i="1"/>
  <c r="I18" i="1" s="1"/>
  <c r="I13" i="1"/>
  <c r="I14" i="1" s="1"/>
  <c r="J12" i="1"/>
  <c r="M26" i="1"/>
  <c r="L21" i="1"/>
  <c r="L22" i="1" s="1"/>
  <c r="K29" i="1"/>
  <c r="K36" i="1" s="1"/>
  <c r="L30" i="1"/>
  <c r="I27" i="1" l="1"/>
  <c r="I28" i="1"/>
  <c r="N26" i="1"/>
  <c r="M21" i="1"/>
  <c r="M22" i="1" s="1"/>
  <c r="M30" i="1"/>
  <c r="L29" i="1"/>
  <c r="L36" i="1" s="1"/>
  <c r="J13" i="1"/>
  <c r="J14" i="1" s="1"/>
  <c r="K12" i="1"/>
  <c r="J17" i="1"/>
  <c r="J18" i="1" s="1"/>
  <c r="K16" i="1"/>
  <c r="H33" i="1"/>
  <c r="H35" i="1"/>
  <c r="H37" i="1" s="1"/>
  <c r="J23" i="1"/>
  <c r="J24" i="1" s="1"/>
  <c r="K11" i="1"/>
  <c r="N30" i="1" l="1"/>
  <c r="M29" i="1"/>
  <c r="M36" i="1" s="1"/>
  <c r="L16" i="1"/>
  <c r="K17" i="1"/>
  <c r="K18" i="1" s="1"/>
  <c r="J27" i="1"/>
  <c r="J28" i="1"/>
  <c r="O26" i="1"/>
  <c r="N21" i="1"/>
  <c r="N22" i="1" s="1"/>
  <c r="L12" i="1"/>
  <c r="K13" i="1"/>
  <c r="K14" i="1" s="1"/>
  <c r="K23" i="1" s="1"/>
  <c r="K24" i="1" s="1"/>
  <c r="I35" i="1"/>
  <c r="I33" i="1"/>
  <c r="L11" i="1"/>
  <c r="K27" i="1" l="1"/>
  <c r="K28" i="1"/>
  <c r="O30" i="1"/>
  <c r="N29" i="1"/>
  <c r="N36" i="1" s="1"/>
  <c r="P26" i="1"/>
  <c r="P21" i="1" s="1"/>
  <c r="P22" i="1" s="1"/>
  <c r="O21" i="1"/>
  <c r="O22" i="1" s="1"/>
  <c r="M11" i="1"/>
  <c r="J35" i="1"/>
  <c r="J37" i="1" s="1"/>
  <c r="J33" i="1"/>
  <c r="M12" i="1"/>
  <c r="L13" i="1"/>
  <c r="L14" i="1" s="1"/>
  <c r="L23" i="1" s="1"/>
  <c r="L24" i="1" s="1"/>
  <c r="I37" i="1"/>
  <c r="M16" i="1"/>
  <c r="L17" i="1"/>
  <c r="L18" i="1" s="1"/>
  <c r="L27" i="1" l="1"/>
  <c r="L28" i="1"/>
  <c r="O29" i="1"/>
  <c r="O36" i="1" s="1"/>
  <c r="P30" i="1"/>
  <c r="K33" i="1"/>
  <c r="K35" i="1"/>
  <c r="N16" i="1"/>
  <c r="M17" i="1"/>
  <c r="M18" i="1" s="1"/>
  <c r="M23" i="1"/>
  <c r="M24" i="1" s="1"/>
  <c r="N11" i="1"/>
  <c r="N12" i="1"/>
  <c r="M13" i="1"/>
  <c r="M14" i="1" s="1"/>
  <c r="M27" i="1" l="1"/>
  <c r="M28" i="1"/>
  <c r="N17" i="1"/>
  <c r="N18" i="1" s="1"/>
  <c r="O16" i="1"/>
  <c r="O11" i="1"/>
  <c r="N23" i="1"/>
  <c r="N24" i="1" s="1"/>
  <c r="L35" i="1"/>
  <c r="L37" i="1" s="1"/>
  <c r="L33" i="1"/>
  <c r="K37" i="1"/>
  <c r="P29" i="1"/>
  <c r="P36" i="1" s="1"/>
  <c r="Q36" i="1" s="1"/>
  <c r="N13" i="1"/>
  <c r="N14" i="1" s="1"/>
  <c r="O12" i="1"/>
  <c r="N27" i="1" l="1"/>
  <c r="N28" i="1"/>
  <c r="P11" i="1"/>
  <c r="O17" i="1"/>
  <c r="O18" i="1" s="1"/>
  <c r="P16" i="1"/>
  <c r="P17" i="1" s="1"/>
  <c r="P18" i="1" s="1"/>
  <c r="M33" i="1"/>
  <c r="M35" i="1"/>
  <c r="M37" i="1" s="1"/>
  <c r="O13" i="1"/>
  <c r="O14" i="1" s="1"/>
  <c r="O23" i="1" s="1"/>
  <c r="O24" i="1" s="1"/>
  <c r="P12" i="1"/>
  <c r="P13" i="1" s="1"/>
  <c r="P14" i="1" s="1"/>
  <c r="O27" i="1" l="1"/>
  <c r="O28" i="1"/>
  <c r="N33" i="1"/>
  <c r="N35" i="1"/>
  <c r="N37" i="1" s="1"/>
  <c r="P23" i="1"/>
  <c r="P24" i="1" s="1"/>
  <c r="P27" i="1" l="1"/>
  <c r="P28" i="1"/>
  <c r="O35" i="1"/>
  <c r="O37" i="1" s="1"/>
  <c r="O33" i="1"/>
  <c r="P33" i="1" l="1"/>
  <c r="P35" i="1"/>
  <c r="P37" i="1" l="1"/>
  <c r="Q35" i="1"/>
  <c r="Q37" i="1" s="1"/>
</calcChain>
</file>

<file path=xl/sharedStrings.xml><?xml version="1.0" encoding="utf-8"?>
<sst xmlns="http://schemas.openxmlformats.org/spreadsheetml/2006/main" count="79" uniqueCount="68">
  <si>
    <t>Notes:</t>
  </si>
  <si>
    <t>TRx Forecast (Covered Only Commercial)</t>
  </si>
  <si>
    <t>From Demand Forecast Provided 2/27/2025</t>
  </si>
  <si>
    <t>TRx Insights Program</t>
  </si>
  <si>
    <t>TRx Forecast (Not Covered Commercial)</t>
  </si>
  <si>
    <t>Payer Mix Assumption (Commercial)</t>
  </si>
  <si>
    <t>From Data provided by Market Access 2/26/2025</t>
  </si>
  <si>
    <t>Medical Exception Pullthrough</t>
  </si>
  <si>
    <t>% Covered Claims (Payer Uptake) + Medical Exception Pullthrough</t>
  </si>
  <si>
    <t>Assumption from Demand Model</t>
  </si>
  <si>
    <t>% Not Covered Claims</t>
  </si>
  <si>
    <t>1-(% of Covered Claims)</t>
  </si>
  <si>
    <t>Avg. Days to Reach Deductible</t>
  </si>
  <si>
    <t>% Covered Met Deductible</t>
  </si>
  <si>
    <t xml:space="preserve">Assumption based upon KFF Data - </t>
  </si>
  <si>
    <t>% Covered Copay</t>
  </si>
  <si>
    <t>Covered Copay Amount (Tier 3)</t>
  </si>
  <si>
    <t>Covered Copay Buydown Amount</t>
  </si>
  <si>
    <t>Covered Copay Buydown Discount %</t>
  </si>
  <si>
    <t>% Covered Coinsurance</t>
  </si>
  <si>
    <t>After Deductible Cost Sharing Mix</t>
  </si>
  <si>
    <t>Covered Coinsurance Amount (Tier 3)</t>
  </si>
  <si>
    <t>Copayment</t>
  </si>
  <si>
    <t>Covered Coinsurance Buydown Amount</t>
  </si>
  <si>
    <t>Coinsurance</t>
  </si>
  <si>
    <t>Covered Coinsurance Buydown Discount %</t>
  </si>
  <si>
    <t>After Deductible Cost Sharing $$</t>
  </si>
  <si>
    <t>% Covered Not Met Deductible</t>
  </si>
  <si>
    <t>Copayment (Tier 3)</t>
  </si>
  <si>
    <t>Covered Not Met Deductible Amount</t>
  </si>
  <si>
    <t>Coinsurance (Tier 3)</t>
  </si>
  <si>
    <t>Covered Not Met Deductible Buydown Amount</t>
  </si>
  <si>
    <t>Covered Not Met Deductible Buydown Discount %</t>
  </si>
  <si>
    <t>Average Discount for Covered Benefit (Mfg Pays)</t>
  </si>
  <si>
    <t>Assumption from KFF Data(KEY INPUT). Goes higher in Q1 due to deductible resets</t>
  </si>
  <si>
    <t>Average Covered Benefit (Mfg Pays)</t>
  </si>
  <si>
    <t>Average Discount for covered benefits</t>
  </si>
  <si>
    <t>Not Covered Benefit</t>
  </si>
  <si>
    <t>Assumption from DC Calculator Tab</t>
  </si>
  <si>
    <t>Copay Program Rules</t>
  </si>
  <si>
    <t>Patient Pays</t>
  </si>
  <si>
    <t>Set by business Rules</t>
  </si>
  <si>
    <t>Pay No More Than</t>
  </si>
  <si>
    <t>Blended Covered Vs. Not Covered</t>
  </si>
  <si>
    <t>Blended Weighted Average Cost of Program</t>
  </si>
  <si>
    <t xml:space="preserve">Covered Program Costs </t>
  </si>
  <si>
    <t>TRx*% of Covered Claims*Average Covered Benefit</t>
  </si>
  <si>
    <t>Not Covered Program Costs</t>
  </si>
  <si>
    <t>TRx*% of Not Covered Claims*Average Not Covered Benefit</t>
  </si>
  <si>
    <t>Redemption Rate of Program (Covered Only)</t>
  </si>
  <si>
    <t>Assumption that without Assistance patient will abandon Rx</t>
  </si>
  <si>
    <t>Redemption Rate</t>
  </si>
  <si>
    <t>WAC Price</t>
  </si>
  <si>
    <t xml:space="preserve">WAC Price </t>
  </si>
  <si>
    <t>WAC</t>
  </si>
  <si>
    <t>Gross Demand Sales (Commercial)</t>
  </si>
  <si>
    <t>WAC Price * TRx</t>
  </si>
  <si>
    <t>GTN % (Copay/Denial Only)</t>
  </si>
  <si>
    <t>((Covered Program Costs+Not Covered Program Costs)*Redemption Rate)/Gross Demand Sales</t>
  </si>
  <si>
    <t>Total covered program costs</t>
  </si>
  <si>
    <t>Total Not covered Program Costs</t>
  </si>
  <si>
    <t>Payer Uptake</t>
  </si>
  <si>
    <t>Commercial</t>
  </si>
  <si>
    <t>Total</t>
  </si>
  <si>
    <t>Medicare</t>
  </si>
  <si>
    <t>Medicaid</t>
  </si>
  <si>
    <t>Commercial Not Covered (Qtrly)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</si>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</sst>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[$-409]mmm\-yy;@"/>
    <numFmt numFmtId="168" formatCode="0.0000000000000000%"/>
    <numFmt numFmtId="169" formatCode="#,##0;\(#,##0\);&quot;-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9" tint="-0.249977111117893"/>
      <name val="Calibri"/>
      <family val="2"/>
      <scheme val="minor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49992370372631"/>
        <bgColor indexed="64"/>
      </patternFill>
    </fill>
  </fills>
  <borders count="3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/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1" fillId="0" borderId="0"/>
  </cellStyleXfs>
  <cellXfs count="93">
    <xf numFmtId="0" fontId="0" fillId="0" borderId="0" xfId="0"/>
    <xf numFmtId="6" fontId="0" fillId="0" borderId="0" xfId="0" applyNumberFormat="1" applyAlignment="1">
      <alignment horizontal="left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17" fontId="4" fillId="5" borderId="6" xfId="0" applyNumberFormat="1" applyFont="1" applyFill="1" applyBorder="1" applyAlignment="1">
      <alignment horizontal="center"/>
    </xf>
    <xf numFmtId="17" fontId="4" fillId="5" borderId="7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5" fillId="6" borderId="9" xfId="4" applyFont="1" applyFill="1" applyBorder="1"/>
    <xf numFmtId="164" fontId="2" fillId="2" borderId="10" xfId="4" applyNumberFormat="1" applyBorder="1"/>
    <xf numFmtId="164" fontId="2" fillId="2" borderId="11" xfId="4" applyNumberFormat="1" applyBorder="1"/>
    <xf numFmtId="164" fontId="2" fillId="2" borderId="12" xfId="4" applyNumberFormat="1" applyBorder="1"/>
    <xf numFmtId="164" fontId="2" fillId="2" borderId="13" xfId="4" applyNumberFormat="1" applyBorder="1"/>
    <xf numFmtId="0" fontId="6" fillId="4" borderId="14" xfId="6" applyFont="1" applyBorder="1"/>
    <xf numFmtId="0" fontId="5" fillId="6" borderId="15" xfId="4" applyFont="1" applyFill="1" applyBorder="1"/>
    <xf numFmtId="164" fontId="2" fillId="2" borderId="16" xfId="1" applyNumberFormat="1" applyFont="1" applyFill="1" applyBorder="1"/>
    <xf numFmtId="164" fontId="2" fillId="2" borderId="1" xfId="1" applyNumberFormat="1" applyFont="1" applyFill="1" applyBorder="1"/>
    <xf numFmtId="164" fontId="2" fillId="2" borderId="17" xfId="1" applyNumberFormat="1" applyFont="1" applyFill="1" applyBorder="1"/>
    <xf numFmtId="164" fontId="2" fillId="2" borderId="18" xfId="1" applyNumberFormat="1" applyFont="1" applyFill="1" applyBorder="1"/>
    <xf numFmtId="0" fontId="5" fillId="6" borderId="19" xfId="4" applyFont="1" applyFill="1" applyBorder="1"/>
    <xf numFmtId="9" fontId="2" fillId="2" borderId="16" xfId="4" applyNumberFormat="1" applyBorder="1"/>
    <xf numFmtId="9" fontId="2" fillId="2" borderId="1" xfId="4" applyNumberFormat="1"/>
    <xf numFmtId="9" fontId="2" fillId="2" borderId="17" xfId="4" applyNumberFormat="1" applyBorder="1"/>
    <xf numFmtId="9" fontId="2" fillId="2" borderId="18" xfId="4" applyNumberFormat="1" applyBorder="1"/>
    <xf numFmtId="0" fontId="6" fillId="4" borderId="20" xfId="6" applyFont="1" applyBorder="1"/>
    <xf numFmtId="2" fontId="7" fillId="7" borderId="0" xfId="7" applyNumberFormat="1" applyFont="1" applyFill="1" applyAlignment="1">
      <alignment horizontal="left" vertical="center" indent="1"/>
    </xf>
    <xf numFmtId="9" fontId="2" fillId="2" borderId="21" xfId="4" applyNumberFormat="1" applyBorder="1"/>
    <xf numFmtId="9" fontId="3" fillId="3" borderId="16" xfId="5" applyNumberFormat="1" applyBorder="1"/>
    <xf numFmtId="9" fontId="3" fillId="3" borderId="1" xfId="5" applyNumberFormat="1"/>
    <xf numFmtId="9" fontId="3" fillId="3" borderId="17" xfId="5" applyNumberFormat="1" applyBorder="1"/>
    <xf numFmtId="9" fontId="3" fillId="3" borderId="18" xfId="5" applyNumberFormat="1" applyBorder="1"/>
    <xf numFmtId="1" fontId="0" fillId="0" borderId="0" xfId="0" applyNumberFormat="1"/>
    <xf numFmtId="14" fontId="0" fillId="0" borderId="0" xfId="0" applyNumberFormat="1"/>
    <xf numFmtId="9" fontId="0" fillId="0" borderId="0" xfId="0" applyNumberFormat="1"/>
    <xf numFmtId="6" fontId="3" fillId="3" borderId="16" xfId="5" applyNumberFormat="1" applyBorder="1"/>
    <xf numFmtId="6" fontId="3" fillId="3" borderId="1" xfId="5" applyNumberFormat="1"/>
    <xf numFmtId="6" fontId="3" fillId="3" borderId="17" xfId="5" applyNumberFormat="1" applyBorder="1"/>
    <xf numFmtId="6" fontId="3" fillId="3" borderId="18" xfId="5" applyNumberFormat="1" applyBorder="1"/>
    <xf numFmtId="0" fontId="8" fillId="8" borderId="19" xfId="5" applyFont="1" applyFill="1" applyBorder="1"/>
    <xf numFmtId="165" fontId="3" fillId="3" borderId="16" xfId="5" applyNumberFormat="1" applyBorder="1"/>
    <xf numFmtId="165" fontId="3" fillId="3" borderId="1" xfId="5" applyNumberFormat="1"/>
    <xf numFmtId="165" fontId="3" fillId="3" borderId="17" xfId="5" applyNumberFormat="1" applyBorder="1"/>
    <xf numFmtId="165" fontId="3" fillId="3" borderId="18" xfId="5" applyNumberFormat="1" applyBorder="1"/>
    <xf numFmtId="2" fontId="9" fillId="7" borderId="0" xfId="7" applyNumberFormat="1" applyFont="1" applyFill="1" applyAlignment="1">
      <alignment horizontal="left" vertical="center" indent="1"/>
    </xf>
    <xf numFmtId="6" fontId="2" fillId="2" borderId="1" xfId="4" applyNumberFormat="1"/>
    <xf numFmtId="6" fontId="0" fillId="0" borderId="0" xfId="0" applyNumberFormat="1"/>
    <xf numFmtId="0" fontId="8" fillId="9" borderId="19" xfId="5" applyFont="1" applyFill="1" applyBorder="1"/>
    <xf numFmtId="165" fontId="3" fillId="9" borderId="16" xfId="5" applyNumberFormat="1" applyFill="1" applyBorder="1"/>
    <xf numFmtId="165" fontId="3" fillId="9" borderId="1" xfId="5" applyNumberFormat="1" applyFill="1"/>
    <xf numFmtId="165" fontId="3" fillId="9" borderId="17" xfId="5" applyNumberFormat="1" applyFill="1" applyBorder="1"/>
    <xf numFmtId="165" fontId="3" fillId="9" borderId="0" xfId="5" applyNumberFormat="1" applyFill="1" applyBorder="1"/>
    <xf numFmtId="165" fontId="3" fillId="9" borderId="18" xfId="5" applyNumberFormat="1" applyFill="1" applyBorder="1"/>
    <xf numFmtId="0" fontId="5" fillId="10" borderId="19" xfId="4" applyFont="1" applyFill="1" applyBorder="1"/>
    <xf numFmtId="165" fontId="2" fillId="2" borderId="1" xfId="4" applyNumberFormat="1"/>
    <xf numFmtId="0" fontId="8" fillId="8" borderId="22" xfId="5" applyFont="1" applyFill="1" applyBorder="1"/>
    <xf numFmtId="0" fontId="8" fillId="8" borderId="23" xfId="5" applyFont="1" applyFill="1" applyBorder="1"/>
    <xf numFmtId="9" fontId="3" fillId="3" borderId="24" xfId="5" applyNumberFormat="1" applyBorder="1"/>
    <xf numFmtId="166" fontId="3" fillId="3" borderId="25" xfId="5" applyNumberFormat="1" applyBorder="1"/>
    <xf numFmtId="9" fontId="3" fillId="3" borderId="26" xfId="5" applyNumberFormat="1" applyBorder="1"/>
    <xf numFmtId="9" fontId="3" fillId="3" borderId="25" xfId="5" applyNumberFormat="1" applyBorder="1"/>
    <xf numFmtId="9" fontId="3" fillId="3" borderId="27" xfId="5" applyNumberFormat="1" applyBorder="1"/>
    <xf numFmtId="0" fontId="6" fillId="4" borderId="28" xfId="6" applyFont="1" applyBorder="1"/>
    <xf numFmtId="165" fontId="0" fillId="0" borderId="0" xfId="0" applyNumberFormat="1"/>
    <xf numFmtId="165" fontId="0" fillId="0" borderId="0" xfId="3" applyNumberFormat="1" applyFont="1"/>
    <xf numFmtId="165" fontId="0" fillId="0" borderId="0" xfId="0" applyNumberFormat="1" applyAlignment="1">
      <alignment horizontal="right"/>
    </xf>
    <xf numFmtId="44" fontId="0" fillId="0" borderId="0" xfId="2" applyFont="1"/>
    <xf numFmtId="167" fontId="10" fillId="0" borderId="0" xfId="0" applyNumberFormat="1" applyFont="1" applyAlignment="1">
      <alignment horizontal="center"/>
    </xf>
    <xf numFmtId="43" fontId="11" fillId="0" borderId="0" xfId="1" applyFont="1" applyAlignment="1">
      <alignment horizontal="center"/>
    </xf>
    <xf numFmtId="165" fontId="0" fillId="0" borderId="0" xfId="3" applyNumberFormat="1" applyFont="1" applyAlignment="1">
      <alignment horizontal="right"/>
    </xf>
    <xf numFmtId="10" fontId="0" fillId="0" borderId="0" xfId="3" applyNumberFormat="1" applyFont="1"/>
    <xf numFmtId="9" fontId="12" fillId="0" borderId="0" xfId="3" applyFont="1" applyFill="1" applyBorder="1" applyAlignment="1">
      <alignment horizontal="center" vertical="center"/>
    </xf>
    <xf numFmtId="9" fontId="0" fillId="0" borderId="0" xfId="3" applyFont="1" applyAlignment="1">
      <alignment horizontal="right"/>
    </xf>
    <xf numFmtId="167" fontId="10" fillId="11" borderId="29" xfId="0" applyNumberFormat="1" applyFont="1" applyFill="1" applyBorder="1" applyAlignment="1">
      <alignment horizontal="left" vertical="center"/>
    </xf>
    <xf numFmtId="166" fontId="0" fillId="0" borderId="0" xfId="3" applyNumberFormat="1" applyFont="1"/>
    <xf numFmtId="0" fontId="13" fillId="7" borderId="29" xfId="0" applyFont="1" applyFill="1" applyBorder="1"/>
    <xf numFmtId="9" fontId="0" fillId="0" borderId="0" xfId="3" applyFont="1"/>
    <xf numFmtId="167" fontId="10" fillId="11" borderId="30" xfId="0" applyNumberFormat="1" applyFont="1" applyFill="1" applyBorder="1" applyAlignment="1">
      <alignment horizontal="center"/>
    </xf>
    <xf numFmtId="9" fontId="12" fillId="12" borderId="0" xfId="3" applyFont="1" applyFill="1" applyBorder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9" fontId="0" fillId="0" borderId="0" xfId="0" applyNumberFormat="1" applyAlignment="1">
      <alignment horizontal="right"/>
    </xf>
    <xf numFmtId="165" fontId="0" fillId="0" borderId="0" xfId="2" applyNumberFormat="1" applyFont="1"/>
    <xf numFmtId="164" fontId="0" fillId="0" borderId="0" xfId="1" applyNumberFormat="1" applyFont="1"/>
    <xf numFmtId="167" fontId="10" fillId="11" borderId="31" xfId="0" applyNumberFormat="1" applyFont="1" applyFill="1" applyBorder="1"/>
    <xf numFmtId="167" fontId="10" fillId="11" borderId="0" xfId="0" applyNumberFormat="1" applyFont="1" applyFill="1" applyAlignment="1">
      <alignment horizontal="center"/>
    </xf>
    <xf numFmtId="2" fontId="9" fillId="7" borderId="32" xfId="7" applyNumberFormat="1" applyFont="1" applyFill="1" applyBorder="1"/>
    <xf numFmtId="169" fontId="12" fillId="0" borderId="32" xfId="1" applyNumberFormat="1" applyFont="1" applyBorder="1" applyAlignment="1">
      <alignment horizontal="center"/>
    </xf>
    <xf numFmtId="2" fontId="9" fillId="7" borderId="0" xfId="7" applyNumberFormat="1" applyFont="1" applyFill="1"/>
    <xf numFmtId="169" fontId="12" fillId="0" borderId="0" xfId="1" applyNumberFormat="1" applyFont="1" applyBorder="1" applyAlignment="1">
      <alignment horizontal="center"/>
    </xf>
    <xf numFmtId="9" fontId="12" fillId="0" borderId="32" xfId="3" applyFont="1" applyBorder="1" applyAlignment="1">
      <alignment horizontal="center"/>
    </xf>
    <xf numFmtId="166" fontId="12" fillId="0" borderId="32" xfId="3" applyNumberFormat="1" applyFont="1" applyBorder="1" applyAlignment="1">
      <alignment horizontal="center"/>
    </xf>
  </cellXfs>
  <cellStyles count="8">
    <cellStyle name="Calculation" xfId="5" builtinId="22"/>
    <cellStyle name="Comma" xfId="1" builtinId="3"/>
    <cellStyle name="Currency" xfId="2" builtinId="4"/>
    <cellStyle name="Input" xfId="4" builtinId="20"/>
    <cellStyle name="Normal" xfId="0" builtinId="0"/>
    <cellStyle name="Normal 5" xfId="7"/>
    <cellStyle name="Note" xfId="6" builtinId="1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RAFT%20GTN%20&amp;%20GP%20Forecast%20Model%20-%20Milestone%20Pharma%2001.05.202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 Updates"/>
      <sheetName val="Trend Summary"/>
      <sheetName val="GTN Summary"/>
      <sheetName val="GP Summary"/>
      <sheetName val="URA 340B Calculation"/>
      <sheetName val="Part B Inflation Rebate"/>
      <sheetName val="Part D Inflation Rebate"/>
      <sheetName val="Final Data"/>
      <sheetName val="GTN 01"/>
      <sheetName val="COT"/>
      <sheetName val="Product Master"/>
      <sheetName val="Part D Discount Program"/>
      <sheetName val="CPIU"/>
      <sheetName val="Dropdown"/>
      <sheetName val="Source Data&gt;&gt;&gt;"/>
      <sheetName val="Ex-factory&amp;Demand"/>
      <sheetName val="Rebate Forecast"/>
      <sheetName val="Assumptions"/>
      <sheetName val="Dist Fees"/>
      <sheetName val="Affordability Detailed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2899"/>
  </sheetPr>
  <dimension ref="A1:X68"/>
  <sheetViews>
    <sheetView tabSelected="1" topLeftCell="A19" zoomScale="85" zoomScaleNormal="85" workbookViewId="0">
      <selection activeCell="E10" sqref="E10"/>
    </sheetView>
  </sheetViews>
  <sheetFormatPr defaultRowHeight="15" outlineLevelCol="1" x14ac:dyDescent="0.25"/>
  <cols>
    <col min="1" max="1" width="30.42578125" bestFit="1" customWidth="1"/>
    <col min="2" max="2" width="8.7109375" bestFit="1" customWidth="1"/>
    <col min="3" max="3" width="11.28515625" customWidth="1" outlineLevel="1"/>
    <col min="4" max="4" width="46.28515625" customWidth="1"/>
    <col min="5" max="6" width="14.7109375" customWidth="1"/>
    <col min="7" max="7" width="16" bestFit="1" customWidth="1"/>
    <col min="8" max="8" width="16.7109375" bestFit="1" customWidth="1"/>
    <col min="9" max="14" width="16.28515625" bestFit="1" customWidth="1"/>
    <col min="15" max="15" width="17.28515625" bestFit="1" customWidth="1"/>
    <col min="16" max="16" width="17.28515625" customWidth="1"/>
    <col min="17" max="17" width="75.5703125" customWidth="1"/>
    <col min="18" max="18" width="12.7109375" bestFit="1" customWidth="1"/>
  </cols>
  <sheetData>
    <row r="1" spans="1:17" ht="15.75" thickBot="1" x14ac:dyDescent="0.3"/>
    <row r="2" spans="1:17" ht="15.75" thickBot="1" x14ac:dyDescent="0.3">
      <c r="D2" s="1"/>
      <c r="E2" s="2">
        <v>2026</v>
      </c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5" t="s">
        <v>0</v>
      </c>
    </row>
    <row r="3" spans="1:17" ht="15.75" thickBot="1" x14ac:dyDescent="0.3">
      <c r="E3" s="6">
        <v>46053</v>
      </c>
      <c r="F3" s="6">
        <v>46081</v>
      </c>
      <c r="G3" s="6">
        <v>46112</v>
      </c>
      <c r="H3" s="6">
        <v>46142</v>
      </c>
      <c r="I3" s="6">
        <v>46173</v>
      </c>
      <c r="J3" s="6">
        <v>46203</v>
      </c>
      <c r="K3" s="6">
        <v>46234</v>
      </c>
      <c r="L3" s="6">
        <v>46265</v>
      </c>
      <c r="M3" s="6">
        <v>46295</v>
      </c>
      <c r="N3" s="7">
        <v>46326</v>
      </c>
      <c r="O3" s="6">
        <v>46356</v>
      </c>
      <c r="P3" s="6">
        <v>46387</v>
      </c>
      <c r="Q3" s="8"/>
    </row>
    <row r="4" spans="1:17" x14ac:dyDescent="0.25">
      <c r="D4" s="9" t="s">
        <v>1</v>
      </c>
      <c r="E4" s="10">
        <v>0</v>
      </c>
      <c r="F4" s="11">
        <v>50.228991771889525</v>
      </c>
      <c r="G4" s="12">
        <v>83.780136932237141</v>
      </c>
      <c r="H4" s="10">
        <v>131.8196856474469</v>
      </c>
      <c r="I4" s="11">
        <v>300.71140592159054</v>
      </c>
      <c r="J4" s="12">
        <v>667.02116656419753</v>
      </c>
      <c r="K4" s="10">
        <v>1151.0624664970392</v>
      </c>
      <c r="L4" s="11">
        <v>1505.3137973924129</v>
      </c>
      <c r="M4" s="12">
        <v>1940.2161737763927</v>
      </c>
      <c r="N4" s="13">
        <v>2448.9759636482981</v>
      </c>
      <c r="O4" s="11">
        <v>2812.0979995169355</v>
      </c>
      <c r="P4" s="12">
        <v>3322.6696593750221</v>
      </c>
      <c r="Q4" s="14" t="s">
        <v>2</v>
      </c>
    </row>
    <row r="5" spans="1:17" x14ac:dyDescent="0.25">
      <c r="D5" s="15" t="s">
        <v>3</v>
      </c>
      <c r="E5" s="16">
        <v>0</v>
      </c>
      <c r="F5" s="17">
        <v>0</v>
      </c>
      <c r="G5" s="18">
        <v>0</v>
      </c>
      <c r="H5" s="16">
        <v>0</v>
      </c>
      <c r="I5" s="17">
        <v>0</v>
      </c>
      <c r="J5" s="18">
        <v>0</v>
      </c>
      <c r="K5" s="16">
        <v>0</v>
      </c>
      <c r="L5" s="17">
        <v>0</v>
      </c>
      <c r="M5" s="18">
        <v>0</v>
      </c>
      <c r="N5" s="19">
        <v>0</v>
      </c>
      <c r="O5" s="17">
        <v>0</v>
      </c>
      <c r="P5" s="18">
        <v>0</v>
      </c>
      <c r="Q5" s="14"/>
    </row>
    <row r="6" spans="1:17" x14ac:dyDescent="0.25">
      <c r="D6" s="15" t="s">
        <v>4</v>
      </c>
      <c r="E6" s="16">
        <v>0</v>
      </c>
      <c r="F6" s="17">
        <v>64.580132278143665</v>
      </c>
      <c r="G6" s="18">
        <v>104.00292860553574</v>
      </c>
      <c r="H6" s="16">
        <v>158.18362277693626</v>
      </c>
      <c r="I6" s="17">
        <v>199.99160078646929</v>
      </c>
      <c r="J6" s="18">
        <v>192.76834443033761</v>
      </c>
      <c r="K6" s="16">
        <v>194.46895941609952</v>
      </c>
      <c r="L6" s="17">
        <v>249.10555246656213</v>
      </c>
      <c r="M6" s="18">
        <v>350.07381907193957</v>
      </c>
      <c r="N6" s="19">
        <v>190.99807640738243</v>
      </c>
      <c r="O6" s="17">
        <v>281.41263154516093</v>
      </c>
      <c r="P6" s="18">
        <v>359.88080148184537</v>
      </c>
      <c r="Q6" s="14"/>
    </row>
    <row r="7" spans="1:17" ht="15.75" thickBot="1" x14ac:dyDescent="0.3">
      <c r="D7" s="20" t="s">
        <v>5</v>
      </c>
      <c r="E7" s="21">
        <v>0.96</v>
      </c>
      <c r="F7" s="22">
        <v>0.96</v>
      </c>
      <c r="G7" s="23">
        <v>0.96</v>
      </c>
      <c r="H7" s="21">
        <v>0.95</v>
      </c>
      <c r="I7" s="22">
        <v>0.95</v>
      </c>
      <c r="J7" s="23">
        <v>0.95</v>
      </c>
      <c r="K7" s="21">
        <v>0.9</v>
      </c>
      <c r="L7" s="22">
        <v>0.9</v>
      </c>
      <c r="M7" s="23">
        <v>0.9</v>
      </c>
      <c r="N7" s="24">
        <v>0.9</v>
      </c>
      <c r="O7" s="22">
        <v>0.9</v>
      </c>
      <c r="P7" s="23">
        <v>0.9</v>
      </c>
      <c r="Q7" s="25" t="s">
        <v>6</v>
      </c>
    </row>
    <row r="8" spans="1:17" ht="15.75" thickBot="1" x14ac:dyDescent="0.3">
      <c r="A8" s="26" t="s">
        <v>7</v>
      </c>
      <c r="B8" s="27">
        <v>0</v>
      </c>
      <c r="D8" s="20" t="s">
        <v>8</v>
      </c>
      <c r="E8" s="28">
        <f>IFERROR((E4/(E4+E6))+((E6*$B$8)/(E4+E6)),0)</f>
        <v>0</v>
      </c>
      <c r="F8" s="29">
        <f t="shared" ref="F8:P8" si="0">(F4/(F4+F6))+((F6*$B$8)/(F4+F6))</f>
        <v>0.43750000000000006</v>
      </c>
      <c r="G8" s="30">
        <f t="shared" si="0"/>
        <v>0.44615384615384623</v>
      </c>
      <c r="H8" s="28">
        <f t="shared" si="0"/>
        <v>0.45454545454545464</v>
      </c>
      <c r="I8" s="29">
        <f t="shared" si="0"/>
        <v>0.60057839056861007</v>
      </c>
      <c r="J8" s="30">
        <f t="shared" si="0"/>
        <v>0.77579588728948468</v>
      </c>
      <c r="K8" s="28">
        <f t="shared" si="0"/>
        <v>0.85547051843540256</v>
      </c>
      <c r="L8" s="29">
        <f t="shared" si="0"/>
        <v>0.85801253703307256</v>
      </c>
      <c r="M8" s="30">
        <f t="shared" si="0"/>
        <v>0.84714869288820138</v>
      </c>
      <c r="N8" s="31">
        <f t="shared" si="0"/>
        <v>0.92765153236000986</v>
      </c>
      <c r="O8" s="29">
        <f t="shared" si="0"/>
        <v>0.90903130290890799</v>
      </c>
      <c r="P8" s="30">
        <f t="shared" si="0"/>
        <v>0.90227403390472283</v>
      </c>
      <c r="Q8" s="25" t="s">
        <v>9</v>
      </c>
    </row>
    <row r="9" spans="1:17" x14ac:dyDescent="0.25">
      <c r="D9" s="20" t="s">
        <v>10</v>
      </c>
      <c r="E9" s="28">
        <f>(1-E8)</f>
        <v>1</v>
      </c>
      <c r="F9" s="29">
        <f t="shared" ref="F9:P9" si="1">(1-F8)</f>
        <v>0.5625</v>
      </c>
      <c r="G9" s="30">
        <f t="shared" si="1"/>
        <v>0.55384615384615377</v>
      </c>
      <c r="H9" s="28">
        <f t="shared" si="1"/>
        <v>0.54545454545454541</v>
      </c>
      <c r="I9" s="29">
        <f t="shared" si="1"/>
        <v>0.39942160943138993</v>
      </c>
      <c r="J9" s="30">
        <f t="shared" si="1"/>
        <v>0.22420411271051532</v>
      </c>
      <c r="K9" s="28">
        <f t="shared" si="1"/>
        <v>0.14452948156459744</v>
      </c>
      <c r="L9" s="29">
        <f t="shared" si="1"/>
        <v>0.14198746296692744</v>
      </c>
      <c r="M9" s="30">
        <f t="shared" si="1"/>
        <v>0.15285130711179862</v>
      </c>
      <c r="N9" s="31">
        <f t="shared" si="1"/>
        <v>7.2348467639990144E-2</v>
      </c>
      <c r="O9" s="29">
        <f t="shared" si="1"/>
        <v>9.096869709109201E-2</v>
      </c>
      <c r="P9" s="30">
        <f t="shared" si="1"/>
        <v>9.7725966095277172E-2</v>
      </c>
      <c r="Q9" s="25" t="s">
        <v>11</v>
      </c>
    </row>
    <row r="10" spans="1:17" x14ac:dyDescent="0.25">
      <c r="A10" s="26" t="s">
        <v>12</v>
      </c>
      <c r="B10" s="32">
        <v>153.98159018394199</v>
      </c>
      <c r="C10" s="33">
        <v>45810.981590183939</v>
      </c>
      <c r="D10" s="20" t="s">
        <v>13</v>
      </c>
      <c r="E10" s="28">
        <v>3.0000000000000002E-2</v>
      </c>
      <c r="F10" s="29">
        <v>0.11000000000000001</v>
      </c>
      <c r="G10" s="30">
        <v>0.19999999999999998</v>
      </c>
      <c r="H10" s="28">
        <v>0.29500000000000004</v>
      </c>
      <c r="I10" s="29">
        <v>0.39500000000000002</v>
      </c>
      <c r="J10" s="30">
        <v>0.49499999999999994</v>
      </c>
      <c r="K10" s="28">
        <v>0.59499999999999997</v>
      </c>
      <c r="L10" s="29">
        <v>0.69</v>
      </c>
      <c r="M10" s="30">
        <v>0.78499999999999992</v>
      </c>
      <c r="N10" s="31">
        <v>0.88500000000000001</v>
      </c>
      <c r="O10" s="29">
        <v>0.94900000000000007</v>
      </c>
      <c r="P10" s="30">
        <v>0.95</v>
      </c>
      <c r="Q10" s="25" t="s">
        <v>14</v>
      </c>
    </row>
    <row r="11" spans="1:17" x14ac:dyDescent="0.25">
      <c r="A11" s="34">
        <v>0.25</v>
      </c>
      <c r="B11" s="32">
        <v>76.990795091970995</v>
      </c>
      <c r="C11" s="33">
        <v>45733.990795091973</v>
      </c>
      <c r="D11" s="20" t="s">
        <v>15</v>
      </c>
      <c r="E11" s="28">
        <f>B17</f>
        <v>0.8</v>
      </c>
      <c r="F11" s="29">
        <f t="shared" ref="F11:P12" si="2">E11</f>
        <v>0.8</v>
      </c>
      <c r="G11" s="30">
        <f t="shared" si="2"/>
        <v>0.8</v>
      </c>
      <c r="H11" s="28">
        <f t="shared" si="2"/>
        <v>0.8</v>
      </c>
      <c r="I11" s="29">
        <f t="shared" si="2"/>
        <v>0.8</v>
      </c>
      <c r="J11" s="30">
        <f t="shared" si="2"/>
        <v>0.8</v>
      </c>
      <c r="K11" s="28">
        <f t="shared" si="2"/>
        <v>0.8</v>
      </c>
      <c r="L11" s="29">
        <f t="shared" si="2"/>
        <v>0.8</v>
      </c>
      <c r="M11" s="30">
        <f t="shared" si="2"/>
        <v>0.8</v>
      </c>
      <c r="N11" s="31">
        <f t="shared" si="2"/>
        <v>0.8</v>
      </c>
      <c r="O11" s="29">
        <f t="shared" si="2"/>
        <v>0.8</v>
      </c>
      <c r="P11" s="30">
        <f t="shared" si="2"/>
        <v>0.8</v>
      </c>
      <c r="Q11" s="25" t="s">
        <v>14</v>
      </c>
    </row>
    <row r="12" spans="1:17" x14ac:dyDescent="0.25">
      <c r="A12" s="34">
        <v>0.5</v>
      </c>
      <c r="B12" s="32">
        <v>154</v>
      </c>
      <c r="C12" s="33">
        <v>45811</v>
      </c>
      <c r="D12" s="20" t="s">
        <v>16</v>
      </c>
      <c r="E12" s="35">
        <f>B20</f>
        <v>65</v>
      </c>
      <c r="F12" s="36">
        <f t="shared" si="2"/>
        <v>65</v>
      </c>
      <c r="G12" s="37">
        <f t="shared" si="2"/>
        <v>65</v>
      </c>
      <c r="H12" s="35">
        <f t="shared" si="2"/>
        <v>65</v>
      </c>
      <c r="I12" s="36">
        <f t="shared" si="2"/>
        <v>65</v>
      </c>
      <c r="J12" s="37">
        <f t="shared" si="2"/>
        <v>65</v>
      </c>
      <c r="K12" s="35">
        <f t="shared" si="2"/>
        <v>65</v>
      </c>
      <c r="L12" s="36">
        <f t="shared" si="2"/>
        <v>65</v>
      </c>
      <c r="M12" s="37">
        <f t="shared" si="2"/>
        <v>65</v>
      </c>
      <c r="N12" s="38">
        <f t="shared" si="2"/>
        <v>65</v>
      </c>
      <c r="O12" s="36">
        <f t="shared" si="2"/>
        <v>65</v>
      </c>
      <c r="P12" s="37">
        <f t="shared" si="2"/>
        <v>65</v>
      </c>
      <c r="Q12" s="25" t="s">
        <v>14</v>
      </c>
    </row>
    <row r="13" spans="1:17" x14ac:dyDescent="0.25">
      <c r="A13" s="34">
        <v>0.75</v>
      </c>
      <c r="B13" s="32">
        <v>230.97238527591298</v>
      </c>
      <c r="C13" s="33">
        <v>45887.972385275913</v>
      </c>
      <c r="D13" s="39" t="s">
        <v>17</v>
      </c>
      <c r="E13" s="40">
        <f>E12-E26</f>
        <v>50</v>
      </c>
      <c r="F13" s="41">
        <f t="shared" ref="F13:P13" si="3">F12-F26</f>
        <v>50</v>
      </c>
      <c r="G13" s="42">
        <f t="shared" si="3"/>
        <v>50</v>
      </c>
      <c r="H13" s="40">
        <f t="shared" si="3"/>
        <v>50</v>
      </c>
      <c r="I13" s="41">
        <f t="shared" si="3"/>
        <v>50</v>
      </c>
      <c r="J13" s="42">
        <f t="shared" si="3"/>
        <v>50</v>
      </c>
      <c r="K13" s="40">
        <f t="shared" si="3"/>
        <v>50</v>
      </c>
      <c r="L13" s="41">
        <f t="shared" si="3"/>
        <v>50</v>
      </c>
      <c r="M13" s="42">
        <f t="shared" si="3"/>
        <v>50</v>
      </c>
      <c r="N13" s="43">
        <f t="shared" si="3"/>
        <v>50</v>
      </c>
      <c r="O13" s="41">
        <f t="shared" si="3"/>
        <v>50</v>
      </c>
      <c r="P13" s="42">
        <f t="shared" si="3"/>
        <v>50</v>
      </c>
      <c r="Q13" s="25"/>
    </row>
    <row r="14" spans="1:17" x14ac:dyDescent="0.25">
      <c r="A14" s="34">
        <v>0.88</v>
      </c>
      <c r="B14" s="32">
        <v>269.46778282189848</v>
      </c>
      <c r="C14" s="33">
        <v>45952.644653153169</v>
      </c>
      <c r="D14" s="39" t="s">
        <v>18</v>
      </c>
      <c r="E14" s="28">
        <f t="shared" ref="E14:P14" si="4">E13/$B$32</f>
        <v>3.0321406913280776E-2</v>
      </c>
      <c r="F14" s="29">
        <f t="shared" si="4"/>
        <v>3.0321406913280776E-2</v>
      </c>
      <c r="G14" s="30">
        <f t="shared" si="4"/>
        <v>3.0321406913280776E-2</v>
      </c>
      <c r="H14" s="28">
        <f t="shared" si="4"/>
        <v>3.0321406913280776E-2</v>
      </c>
      <c r="I14" s="29">
        <f t="shared" si="4"/>
        <v>3.0321406913280776E-2</v>
      </c>
      <c r="J14" s="30">
        <f t="shared" si="4"/>
        <v>3.0321406913280776E-2</v>
      </c>
      <c r="K14" s="28">
        <f t="shared" si="4"/>
        <v>3.0321406913280776E-2</v>
      </c>
      <c r="L14" s="29">
        <f t="shared" si="4"/>
        <v>3.0321406913280776E-2</v>
      </c>
      <c r="M14" s="30">
        <f t="shared" si="4"/>
        <v>3.0321406913280776E-2</v>
      </c>
      <c r="N14" s="31">
        <f t="shared" si="4"/>
        <v>3.0321406913280776E-2</v>
      </c>
      <c r="O14" s="29">
        <f t="shared" si="4"/>
        <v>3.0321406913280776E-2</v>
      </c>
      <c r="P14" s="30">
        <f t="shared" si="4"/>
        <v>3.0321406913280776E-2</v>
      </c>
      <c r="Q14" s="25"/>
    </row>
    <row r="15" spans="1:17" x14ac:dyDescent="0.25">
      <c r="A15" s="34">
        <v>0.95</v>
      </c>
      <c r="B15" s="32">
        <v>295.64465315316863</v>
      </c>
      <c r="D15" s="20" t="s">
        <v>19</v>
      </c>
      <c r="E15" s="28">
        <f>B18</f>
        <v>0.2</v>
      </c>
      <c r="F15" s="29">
        <f t="shared" ref="F15:P16" si="5">E15</f>
        <v>0.2</v>
      </c>
      <c r="G15" s="30">
        <f t="shared" si="5"/>
        <v>0.2</v>
      </c>
      <c r="H15" s="28">
        <f t="shared" si="5"/>
        <v>0.2</v>
      </c>
      <c r="I15" s="29">
        <f t="shared" si="5"/>
        <v>0.2</v>
      </c>
      <c r="J15" s="30">
        <f t="shared" si="5"/>
        <v>0.2</v>
      </c>
      <c r="K15" s="28">
        <f t="shared" si="5"/>
        <v>0.2</v>
      </c>
      <c r="L15" s="29">
        <f t="shared" si="5"/>
        <v>0.2</v>
      </c>
      <c r="M15" s="30">
        <f t="shared" si="5"/>
        <v>0.2</v>
      </c>
      <c r="N15" s="31">
        <f t="shared" si="5"/>
        <v>0.2</v>
      </c>
      <c r="O15" s="29">
        <f t="shared" si="5"/>
        <v>0.2</v>
      </c>
      <c r="P15" s="30">
        <f t="shared" si="5"/>
        <v>0.2</v>
      </c>
      <c r="Q15" s="25" t="s">
        <v>14</v>
      </c>
    </row>
    <row r="16" spans="1:17" x14ac:dyDescent="0.25">
      <c r="A16" s="26" t="s">
        <v>20</v>
      </c>
      <c r="D16" s="20" t="s">
        <v>21</v>
      </c>
      <c r="E16" s="40">
        <f>B21*B32</f>
        <v>577.15</v>
      </c>
      <c r="F16" s="41">
        <f t="shared" si="5"/>
        <v>577.15</v>
      </c>
      <c r="G16" s="42">
        <f t="shared" si="5"/>
        <v>577.15</v>
      </c>
      <c r="H16" s="40">
        <f t="shared" si="5"/>
        <v>577.15</v>
      </c>
      <c r="I16" s="41">
        <f t="shared" si="5"/>
        <v>577.15</v>
      </c>
      <c r="J16" s="42">
        <f t="shared" si="5"/>
        <v>577.15</v>
      </c>
      <c r="K16" s="40">
        <f t="shared" si="5"/>
        <v>577.15</v>
      </c>
      <c r="L16" s="41">
        <f t="shared" si="5"/>
        <v>577.15</v>
      </c>
      <c r="M16" s="42">
        <f t="shared" si="5"/>
        <v>577.15</v>
      </c>
      <c r="N16" s="43">
        <f t="shared" si="5"/>
        <v>577.15</v>
      </c>
      <c r="O16" s="41">
        <f t="shared" si="5"/>
        <v>577.15</v>
      </c>
      <c r="P16" s="42">
        <f t="shared" si="5"/>
        <v>577.15</v>
      </c>
      <c r="Q16" s="25" t="s">
        <v>14</v>
      </c>
    </row>
    <row r="17" spans="1:17" x14ac:dyDescent="0.25">
      <c r="A17" s="44" t="s">
        <v>22</v>
      </c>
      <c r="B17" s="22">
        <v>0.8</v>
      </c>
      <c r="D17" s="39" t="s">
        <v>23</v>
      </c>
      <c r="E17" s="40">
        <f>E16-E26</f>
        <v>562.15</v>
      </c>
      <c r="F17" s="41">
        <f t="shared" ref="F17:P17" si="6">F16-F26</f>
        <v>562.15</v>
      </c>
      <c r="G17" s="42">
        <f t="shared" si="6"/>
        <v>562.15</v>
      </c>
      <c r="H17" s="40">
        <f t="shared" si="6"/>
        <v>562.15</v>
      </c>
      <c r="I17" s="41">
        <f t="shared" si="6"/>
        <v>562.15</v>
      </c>
      <c r="J17" s="42">
        <f t="shared" si="6"/>
        <v>562.15</v>
      </c>
      <c r="K17" s="40">
        <f t="shared" si="6"/>
        <v>562.15</v>
      </c>
      <c r="L17" s="41">
        <f t="shared" si="6"/>
        <v>562.15</v>
      </c>
      <c r="M17" s="42">
        <f t="shared" si="6"/>
        <v>562.15</v>
      </c>
      <c r="N17" s="43">
        <f t="shared" si="6"/>
        <v>562.15</v>
      </c>
      <c r="O17" s="41">
        <f t="shared" si="6"/>
        <v>562.15</v>
      </c>
      <c r="P17" s="42">
        <f t="shared" si="6"/>
        <v>562.15</v>
      </c>
      <c r="Q17" s="25"/>
    </row>
    <row r="18" spans="1:17" x14ac:dyDescent="0.25">
      <c r="A18" s="44" t="s">
        <v>24</v>
      </c>
      <c r="B18" s="22">
        <v>0.2</v>
      </c>
      <c r="D18" s="39" t="s">
        <v>25</v>
      </c>
      <c r="E18" s="28">
        <f>E17/$B32</f>
        <v>0.34090357792601578</v>
      </c>
      <c r="F18" s="29">
        <f t="shared" ref="F18:P18" si="7">F17/$B32</f>
        <v>0.34090357792601578</v>
      </c>
      <c r="G18" s="30">
        <f t="shared" si="7"/>
        <v>0.34090357792601578</v>
      </c>
      <c r="H18" s="28">
        <f t="shared" si="7"/>
        <v>0.34090357792601578</v>
      </c>
      <c r="I18" s="29">
        <f t="shared" si="7"/>
        <v>0.34090357792601578</v>
      </c>
      <c r="J18" s="30">
        <f t="shared" si="7"/>
        <v>0.34090357792601578</v>
      </c>
      <c r="K18" s="28">
        <f t="shared" si="7"/>
        <v>0.34090357792601578</v>
      </c>
      <c r="L18" s="29">
        <f t="shared" si="7"/>
        <v>0.34090357792601578</v>
      </c>
      <c r="M18" s="30">
        <f t="shared" si="7"/>
        <v>0.34090357792601578</v>
      </c>
      <c r="N18" s="31">
        <f t="shared" si="7"/>
        <v>0.34090357792601578</v>
      </c>
      <c r="O18" s="29">
        <f t="shared" si="7"/>
        <v>0.34090357792601578</v>
      </c>
      <c r="P18" s="30">
        <f t="shared" si="7"/>
        <v>0.34090357792601578</v>
      </c>
      <c r="Q18" s="25"/>
    </row>
    <row r="19" spans="1:17" x14ac:dyDescent="0.25">
      <c r="A19" s="26" t="s">
        <v>26</v>
      </c>
      <c r="D19" s="20" t="s">
        <v>27</v>
      </c>
      <c r="E19" s="28">
        <f t="shared" ref="E19:P19" si="8">1-E10</f>
        <v>0.97</v>
      </c>
      <c r="F19" s="29">
        <f t="shared" si="8"/>
        <v>0.89</v>
      </c>
      <c r="G19" s="30">
        <f t="shared" si="8"/>
        <v>0.8</v>
      </c>
      <c r="H19" s="28">
        <f t="shared" si="8"/>
        <v>0.70499999999999996</v>
      </c>
      <c r="I19" s="29">
        <f t="shared" si="8"/>
        <v>0.60499999999999998</v>
      </c>
      <c r="J19" s="30">
        <f t="shared" si="8"/>
        <v>0.50500000000000012</v>
      </c>
      <c r="K19" s="28">
        <f t="shared" si="8"/>
        <v>0.40500000000000003</v>
      </c>
      <c r="L19" s="29">
        <f t="shared" si="8"/>
        <v>0.31000000000000005</v>
      </c>
      <c r="M19" s="30">
        <f t="shared" si="8"/>
        <v>0.21500000000000008</v>
      </c>
      <c r="N19" s="31">
        <f t="shared" si="8"/>
        <v>0.11499999999999999</v>
      </c>
      <c r="O19" s="29">
        <f t="shared" si="8"/>
        <v>5.0999999999999934E-2</v>
      </c>
      <c r="P19" s="30">
        <f t="shared" si="8"/>
        <v>5.0000000000000044E-2</v>
      </c>
      <c r="Q19" s="25" t="s">
        <v>14</v>
      </c>
    </row>
    <row r="20" spans="1:17" x14ac:dyDescent="0.25">
      <c r="A20" s="44" t="s">
        <v>28</v>
      </c>
      <c r="B20" s="45">
        <v>65</v>
      </c>
      <c r="D20" s="39" t="s">
        <v>29</v>
      </c>
      <c r="E20" s="40">
        <f>$B$32</f>
        <v>1649</v>
      </c>
      <c r="F20" s="41">
        <f t="shared" ref="F20:P20" si="9">$B$32</f>
        <v>1649</v>
      </c>
      <c r="G20" s="42">
        <f t="shared" si="9"/>
        <v>1649</v>
      </c>
      <c r="H20" s="40">
        <f t="shared" si="9"/>
        <v>1649</v>
      </c>
      <c r="I20" s="41">
        <f t="shared" si="9"/>
        <v>1649</v>
      </c>
      <c r="J20" s="42">
        <f t="shared" si="9"/>
        <v>1649</v>
      </c>
      <c r="K20" s="40">
        <f t="shared" si="9"/>
        <v>1649</v>
      </c>
      <c r="L20" s="41">
        <f t="shared" si="9"/>
        <v>1649</v>
      </c>
      <c r="M20" s="42">
        <f t="shared" si="9"/>
        <v>1649</v>
      </c>
      <c r="N20" s="43">
        <f t="shared" si="9"/>
        <v>1649</v>
      </c>
      <c r="O20" s="41">
        <f t="shared" si="9"/>
        <v>1649</v>
      </c>
      <c r="P20" s="42">
        <f t="shared" si="9"/>
        <v>1649</v>
      </c>
      <c r="Q20" s="25"/>
    </row>
    <row r="21" spans="1:17" x14ac:dyDescent="0.25">
      <c r="A21" s="44" t="s">
        <v>30</v>
      </c>
      <c r="B21" s="22">
        <v>0.35</v>
      </c>
      <c r="D21" s="39" t="s">
        <v>31</v>
      </c>
      <c r="E21" s="40">
        <f>E20-E26</f>
        <v>1634</v>
      </c>
      <c r="F21" s="41">
        <f t="shared" ref="F21:P21" si="10">F20-F26</f>
        <v>1634</v>
      </c>
      <c r="G21" s="42">
        <f t="shared" si="10"/>
        <v>1634</v>
      </c>
      <c r="H21" s="40">
        <f t="shared" si="10"/>
        <v>1634</v>
      </c>
      <c r="I21" s="41">
        <f t="shared" si="10"/>
        <v>1634</v>
      </c>
      <c r="J21" s="42">
        <f t="shared" si="10"/>
        <v>1634</v>
      </c>
      <c r="K21" s="40">
        <f t="shared" si="10"/>
        <v>1634</v>
      </c>
      <c r="L21" s="41">
        <f t="shared" si="10"/>
        <v>1634</v>
      </c>
      <c r="M21" s="42">
        <f t="shared" si="10"/>
        <v>1634</v>
      </c>
      <c r="N21" s="43">
        <f t="shared" si="10"/>
        <v>1634</v>
      </c>
      <c r="O21" s="41">
        <f t="shared" si="10"/>
        <v>1634</v>
      </c>
      <c r="P21" s="42">
        <f t="shared" si="10"/>
        <v>1634</v>
      </c>
      <c r="Q21" s="25"/>
    </row>
    <row r="22" spans="1:17" x14ac:dyDescent="0.25">
      <c r="D22" s="39" t="s">
        <v>32</v>
      </c>
      <c r="E22" s="28">
        <f>E21/$B32</f>
        <v>0.9909035779260158</v>
      </c>
      <c r="F22" s="29">
        <f t="shared" ref="F22:K22" si="11">F21/$B32</f>
        <v>0.9909035779260158</v>
      </c>
      <c r="G22" s="30">
        <f t="shared" si="11"/>
        <v>0.9909035779260158</v>
      </c>
      <c r="H22" s="28">
        <f t="shared" si="11"/>
        <v>0.9909035779260158</v>
      </c>
      <c r="I22" s="29">
        <f t="shared" si="11"/>
        <v>0.9909035779260158</v>
      </c>
      <c r="J22" s="30">
        <f t="shared" si="11"/>
        <v>0.9909035779260158</v>
      </c>
      <c r="K22" s="28">
        <f t="shared" si="11"/>
        <v>0.9909035779260158</v>
      </c>
      <c r="L22" s="29">
        <f>L21/L31</f>
        <v>0.9909035779260158</v>
      </c>
      <c r="M22" s="30">
        <f>M21/M31</f>
        <v>0.9909035779260158</v>
      </c>
      <c r="N22" s="31">
        <f>N21/N31</f>
        <v>0.9909035779260158</v>
      </c>
      <c r="O22" s="29">
        <f>O21/O31</f>
        <v>0.9909035779260158</v>
      </c>
      <c r="P22" s="30">
        <f>P21/P31</f>
        <v>0.9909035779260158</v>
      </c>
      <c r="Q22" s="25"/>
    </row>
    <row r="23" spans="1:17" x14ac:dyDescent="0.25">
      <c r="D23" s="39" t="s">
        <v>33</v>
      </c>
      <c r="E23" s="28">
        <f>((E11*E14)+(E15*E18)*E10)+(E19*E22)</f>
        <v>0.98747901758641599</v>
      </c>
      <c r="F23" s="29">
        <f t="shared" ref="F23:P23" si="12">((F11*F14)+(F15*F18)*F10)+(F19*F22)</f>
        <v>0.91366118859915102</v>
      </c>
      <c r="G23" s="30">
        <f t="shared" si="12"/>
        <v>0.83061613098847797</v>
      </c>
      <c r="H23" s="28">
        <f t="shared" si="12"/>
        <v>0.74295745906610067</v>
      </c>
      <c r="I23" s="29">
        <f t="shared" si="12"/>
        <v>0.65068517283201943</v>
      </c>
      <c r="J23" s="30">
        <f t="shared" si="12"/>
        <v>0.55841288659793831</v>
      </c>
      <c r="K23" s="28">
        <f t="shared" si="12"/>
        <v>0.46614060036385691</v>
      </c>
      <c r="L23" s="29">
        <f t="shared" si="12"/>
        <v>0.37848192844147976</v>
      </c>
      <c r="M23" s="30">
        <f t="shared" si="12"/>
        <v>0.29082325651910257</v>
      </c>
      <c r="N23" s="31">
        <f t="shared" si="12"/>
        <v>0.19855097028502122</v>
      </c>
      <c r="O23" s="29">
        <f t="shared" si="12"/>
        <v>0.13949670709520917</v>
      </c>
      <c r="P23" s="30">
        <f t="shared" si="12"/>
        <v>0.13857398423286843</v>
      </c>
      <c r="Q23" s="25" t="s">
        <v>34</v>
      </c>
    </row>
    <row r="24" spans="1:17" x14ac:dyDescent="0.25">
      <c r="D24" s="39" t="s">
        <v>35</v>
      </c>
      <c r="E24" s="40">
        <f>E23*E31</f>
        <v>1628.3528999999999</v>
      </c>
      <c r="F24" s="41">
        <f t="shared" ref="F24:K24" si="13">F23*F31</f>
        <v>1506.6273000000001</v>
      </c>
      <c r="G24" s="42">
        <f t="shared" si="13"/>
        <v>1369.6860000000001</v>
      </c>
      <c r="H24" s="40">
        <f>H23*H31</f>
        <v>1225.1368500000001</v>
      </c>
      <c r="I24" s="41">
        <f t="shared" si="13"/>
        <v>1072.9798499999999</v>
      </c>
      <c r="J24" s="42">
        <f t="shared" si="13"/>
        <v>920.82285000000024</v>
      </c>
      <c r="K24" s="40">
        <f t="shared" si="13"/>
        <v>768.66585000000009</v>
      </c>
      <c r="L24" s="41">
        <f>L23*L31</f>
        <v>624.11670000000015</v>
      </c>
      <c r="M24" s="42">
        <f>M23*M31</f>
        <v>479.56755000000015</v>
      </c>
      <c r="N24" s="43">
        <f>N23*N31</f>
        <v>327.41055</v>
      </c>
      <c r="O24" s="41">
        <f>O23*O31</f>
        <v>230.03006999999991</v>
      </c>
      <c r="P24" s="42">
        <f>P23*P31</f>
        <v>228.50850000000005</v>
      </c>
      <c r="Q24" s="25" t="s">
        <v>36</v>
      </c>
    </row>
    <row r="25" spans="1:17" x14ac:dyDescent="0.25">
      <c r="A25" s="44"/>
      <c r="B25" s="46"/>
      <c r="D25" s="20" t="s">
        <v>37</v>
      </c>
      <c r="E25" s="40">
        <v>1764.175</v>
      </c>
      <c r="F25" s="41">
        <f>E25</f>
        <v>1764.175</v>
      </c>
      <c r="G25" s="42">
        <f>F25</f>
        <v>1764.175</v>
      </c>
      <c r="H25" s="40">
        <f t="shared" ref="H25:P26" si="14">G25</f>
        <v>1764.175</v>
      </c>
      <c r="I25" s="41">
        <f t="shared" si="14"/>
        <v>1764.175</v>
      </c>
      <c r="J25" s="42">
        <f t="shared" si="14"/>
        <v>1764.175</v>
      </c>
      <c r="K25" s="40">
        <f t="shared" si="14"/>
        <v>1764.175</v>
      </c>
      <c r="L25" s="41">
        <f t="shared" si="14"/>
        <v>1764.175</v>
      </c>
      <c r="M25" s="42">
        <f t="shared" si="14"/>
        <v>1764.175</v>
      </c>
      <c r="N25" s="43">
        <f>M25</f>
        <v>1764.175</v>
      </c>
      <c r="O25" s="41">
        <f t="shared" si="14"/>
        <v>1764.175</v>
      </c>
      <c r="P25" s="42">
        <f t="shared" si="14"/>
        <v>1764.175</v>
      </c>
      <c r="Q25" s="25" t="s">
        <v>38</v>
      </c>
    </row>
    <row r="26" spans="1:17" x14ac:dyDescent="0.25">
      <c r="A26" s="26" t="s">
        <v>39</v>
      </c>
      <c r="D26" s="20" t="s">
        <v>40</v>
      </c>
      <c r="E26" s="40">
        <f>B27</f>
        <v>15</v>
      </c>
      <c r="F26" s="41">
        <f>E26</f>
        <v>15</v>
      </c>
      <c r="G26" s="42">
        <f>F26</f>
        <v>15</v>
      </c>
      <c r="H26" s="40">
        <f t="shared" si="14"/>
        <v>15</v>
      </c>
      <c r="I26" s="41">
        <f t="shared" si="14"/>
        <v>15</v>
      </c>
      <c r="J26" s="42">
        <f t="shared" si="14"/>
        <v>15</v>
      </c>
      <c r="K26" s="40">
        <f t="shared" si="14"/>
        <v>15</v>
      </c>
      <c r="L26" s="41">
        <f t="shared" si="14"/>
        <v>15</v>
      </c>
      <c r="M26" s="42">
        <f t="shared" si="14"/>
        <v>15</v>
      </c>
      <c r="N26" s="43">
        <f t="shared" si="14"/>
        <v>15</v>
      </c>
      <c r="O26" s="41">
        <f t="shared" si="14"/>
        <v>15</v>
      </c>
      <c r="P26" s="42">
        <f t="shared" si="14"/>
        <v>15</v>
      </c>
      <c r="Q26" s="25" t="s">
        <v>41</v>
      </c>
    </row>
    <row r="27" spans="1:17" x14ac:dyDescent="0.25">
      <c r="A27" s="44" t="s">
        <v>42</v>
      </c>
      <c r="B27" s="45">
        <v>15</v>
      </c>
      <c r="D27" s="39" t="s">
        <v>43</v>
      </c>
      <c r="E27" s="40">
        <f t="shared" ref="E27:P27" si="15">(E8*E24)+(E9*E25)</f>
        <v>1764.175</v>
      </c>
      <c r="F27" s="41">
        <f t="shared" si="15"/>
        <v>1651.4978812500001</v>
      </c>
      <c r="G27" s="42">
        <f t="shared" si="15"/>
        <v>1588.1722153846154</v>
      </c>
      <c r="H27" s="40">
        <f t="shared" si="15"/>
        <v>1519.157659090909</v>
      </c>
      <c r="I27" s="41">
        <f t="shared" si="15"/>
        <v>1349.0581292441709</v>
      </c>
      <c r="J27" s="42">
        <f t="shared" si="15"/>
        <v>1109.9058704932556</v>
      </c>
      <c r="K27" s="40">
        <f t="shared" si="15"/>
        <v>912.54627134231316</v>
      </c>
      <c r="L27" s="41">
        <f t="shared" si="15"/>
        <v>785.99068565138839</v>
      </c>
      <c r="M27" s="42">
        <f t="shared" si="15"/>
        <v>675.92147785805469</v>
      </c>
      <c r="N27" s="43">
        <f t="shared" si="15"/>
        <v>431.35825631711322</v>
      </c>
      <c r="O27" s="41">
        <f t="shared" si="15"/>
        <v>369.58923543100445</v>
      </c>
      <c r="P27" s="42">
        <f t="shared" si="15"/>
        <v>378.582992312653</v>
      </c>
      <c r="Q27" s="25" t="s">
        <v>44</v>
      </c>
    </row>
    <row r="28" spans="1:17" x14ac:dyDescent="0.25">
      <c r="A28" s="44"/>
      <c r="D28" s="47" t="s">
        <v>45</v>
      </c>
      <c r="E28" s="48">
        <f t="shared" ref="E28:P28" si="16">((((E4*E30)*E24)))</f>
        <v>0</v>
      </c>
      <c r="F28" s="49">
        <f>((((F4*F30)*F24)))</f>
        <v>60541.096204003319</v>
      </c>
      <c r="G28" s="50">
        <f t="shared" si="16"/>
        <v>91801.984507334535</v>
      </c>
      <c r="H28" s="48">
        <f t="shared" si="16"/>
        <v>129197.72355368266</v>
      </c>
      <c r="I28" s="51">
        <f t="shared" si="16"/>
        <v>258125.82337522984</v>
      </c>
      <c r="J28" s="50">
        <f t="shared" si="16"/>
        <v>491366.66528477543</v>
      </c>
      <c r="K28" s="48">
        <f t="shared" si="16"/>
        <v>707825.92737043463</v>
      </c>
      <c r="L28" s="51">
        <f t="shared" si="16"/>
        <v>751593.18375441723</v>
      </c>
      <c r="M28" s="50">
        <f t="shared" si="16"/>
        <v>744371.7735426554</v>
      </c>
      <c r="N28" s="52">
        <f t="shared" si="16"/>
        <v>641456.45375589549</v>
      </c>
      <c r="O28" s="51">
        <f t="shared" si="16"/>
        <v>517493.67974059237</v>
      </c>
      <c r="P28" s="50">
        <f t="shared" si="16"/>
        <v>607406.60788743792</v>
      </c>
      <c r="Q28" s="25" t="s">
        <v>46</v>
      </c>
    </row>
    <row r="29" spans="1:17" x14ac:dyDescent="0.25">
      <c r="D29" s="47" t="s">
        <v>47</v>
      </c>
      <c r="E29" s="48">
        <f>((((E6*E7)*E30))*E9*E25)</f>
        <v>0</v>
      </c>
      <c r="F29" s="49">
        <f>((((F6*F7)*F30))*F25)</f>
        <v>87498.742933857866</v>
      </c>
      <c r="G29" s="50">
        <f t="shared" ref="G29:P29" si="17">((((G6*G7)*G30))*G25)</f>
        <v>140912.15352781134</v>
      </c>
      <c r="H29" s="48">
        <f t="shared" si="17"/>
        <v>212088.33046150114</v>
      </c>
      <c r="I29" s="51">
        <f t="shared" si="17"/>
        <v>268143.33856127685</v>
      </c>
      <c r="J29" s="50">
        <f t="shared" si="17"/>
        <v>258458.59146689702</v>
      </c>
      <c r="K29" s="48">
        <f t="shared" si="17"/>
        <v>247015.63906408611</v>
      </c>
      <c r="L29" s="51">
        <f t="shared" si="17"/>
        <v>316415.36737634201</v>
      </c>
      <c r="M29" s="50">
        <f t="shared" si="17"/>
        <v>444665.86542809202</v>
      </c>
      <c r="N29" s="52">
        <f t="shared" si="17"/>
        <v>242606.90264111562</v>
      </c>
      <c r="O29" s="51">
        <f t="shared" si="17"/>
        <v>357452.01306445274</v>
      </c>
      <c r="P29" s="50">
        <f t="shared" si="17"/>
        <v>457122.75332704891</v>
      </c>
      <c r="Q29" s="25" t="s">
        <v>48</v>
      </c>
    </row>
    <row r="30" spans="1:17" x14ac:dyDescent="0.25">
      <c r="D30" s="53" t="s">
        <v>49</v>
      </c>
      <c r="E30" s="28">
        <f>B31</f>
        <v>0.8</v>
      </c>
      <c r="F30" s="29">
        <f t="shared" ref="F30:P31" si="18">E30</f>
        <v>0.8</v>
      </c>
      <c r="G30" s="30">
        <f t="shared" si="18"/>
        <v>0.8</v>
      </c>
      <c r="H30" s="28">
        <f t="shared" si="18"/>
        <v>0.8</v>
      </c>
      <c r="I30" s="29">
        <f t="shared" si="18"/>
        <v>0.8</v>
      </c>
      <c r="J30" s="30">
        <f t="shared" si="18"/>
        <v>0.8</v>
      </c>
      <c r="K30" s="28">
        <f t="shared" si="18"/>
        <v>0.8</v>
      </c>
      <c r="L30" s="29">
        <f t="shared" si="18"/>
        <v>0.8</v>
      </c>
      <c r="M30" s="30">
        <f t="shared" si="18"/>
        <v>0.8</v>
      </c>
      <c r="N30" s="31">
        <f t="shared" si="18"/>
        <v>0.8</v>
      </c>
      <c r="O30" s="29">
        <f t="shared" si="18"/>
        <v>0.8</v>
      </c>
      <c r="P30" s="30">
        <f t="shared" si="18"/>
        <v>0.8</v>
      </c>
      <c r="Q30" s="25" t="s">
        <v>50</v>
      </c>
    </row>
    <row r="31" spans="1:17" x14ac:dyDescent="0.25">
      <c r="A31" s="26" t="s">
        <v>51</v>
      </c>
      <c r="B31" s="22">
        <v>0.8</v>
      </c>
      <c r="D31" s="53" t="s">
        <v>52</v>
      </c>
      <c r="E31" s="40">
        <f>B32</f>
        <v>1649</v>
      </c>
      <c r="F31" s="41">
        <f t="shared" si="18"/>
        <v>1649</v>
      </c>
      <c r="G31" s="42">
        <f t="shared" si="18"/>
        <v>1649</v>
      </c>
      <c r="H31" s="40">
        <f t="shared" si="18"/>
        <v>1649</v>
      </c>
      <c r="I31" s="41">
        <f t="shared" si="18"/>
        <v>1649</v>
      </c>
      <c r="J31" s="42">
        <f t="shared" si="18"/>
        <v>1649</v>
      </c>
      <c r="K31" s="40">
        <f t="shared" si="18"/>
        <v>1649</v>
      </c>
      <c r="L31" s="41">
        <v>1649</v>
      </c>
      <c r="M31" s="42">
        <v>1649</v>
      </c>
      <c r="N31" s="43">
        <v>1649</v>
      </c>
      <c r="O31" s="41">
        <v>1649</v>
      </c>
      <c r="P31" s="42">
        <v>1649</v>
      </c>
      <c r="Q31" s="25" t="s">
        <v>53</v>
      </c>
    </row>
    <row r="32" spans="1:17" x14ac:dyDescent="0.25">
      <c r="A32" s="26" t="s">
        <v>54</v>
      </c>
      <c r="B32" s="54">
        <v>1649</v>
      </c>
      <c r="D32" s="55" t="s">
        <v>55</v>
      </c>
      <c r="E32" s="40">
        <f>SUM(E4,E6)*E31</f>
        <v>0</v>
      </c>
      <c r="F32" s="41">
        <f>SUM(F4,F6)*F31</f>
        <v>189320.24555850474</v>
      </c>
      <c r="G32" s="42">
        <f t="shared" ref="G32:P32" si="19">SUM(G4,G6)*G31</f>
        <v>309654.27507178747</v>
      </c>
      <c r="H32" s="40">
        <f>SUM(H4,H6)*H31</f>
        <v>478215.45559180778</v>
      </c>
      <c r="I32" s="41">
        <f>SUM(I4,I6)*I31</f>
        <v>825659.2580615906</v>
      </c>
      <c r="J32" s="42">
        <f t="shared" si="19"/>
        <v>1417792.9036299884</v>
      </c>
      <c r="K32" s="40">
        <f t="shared" si="19"/>
        <v>2218781.3213307657</v>
      </c>
      <c r="L32" s="41">
        <f t="shared" si="19"/>
        <v>2893037.5079174498</v>
      </c>
      <c r="M32" s="42">
        <f t="shared" si="19"/>
        <v>3776688.1982068997</v>
      </c>
      <c r="N32" s="43">
        <f t="shared" si="19"/>
        <v>4353317.1920518177</v>
      </c>
      <c r="O32" s="41">
        <f t="shared" si="19"/>
        <v>5101199.0306213964</v>
      </c>
      <c r="P32" s="42">
        <f t="shared" si="19"/>
        <v>6072525.7099529747</v>
      </c>
      <c r="Q32" s="25" t="s">
        <v>56</v>
      </c>
    </row>
    <row r="33" spans="1:19" ht="15.75" thickBot="1" x14ac:dyDescent="0.3">
      <c r="D33" s="56" t="s">
        <v>57</v>
      </c>
      <c r="E33" s="57">
        <f>IFERROR(((E28+E29))/E32,0)</f>
        <v>0</v>
      </c>
      <c r="F33" s="58">
        <f t="shared" ref="F33:P33" si="20">IFERROR(((F28+F29))/F32,0)</f>
        <v>0.78195461188599147</v>
      </c>
      <c r="G33" s="59">
        <f t="shared" si="20"/>
        <v>0.75152890423100249</v>
      </c>
      <c r="H33" s="57">
        <f t="shared" si="20"/>
        <v>0.71366588014774801</v>
      </c>
      <c r="I33" s="60">
        <f t="shared" si="20"/>
        <v>0.63739267354917639</v>
      </c>
      <c r="J33" s="59">
        <f t="shared" si="20"/>
        <v>0.52886797136019503</v>
      </c>
      <c r="K33" s="57">
        <f t="shared" si="20"/>
        <v>0.43034505350073537</v>
      </c>
      <c r="L33" s="60">
        <f t="shared" si="20"/>
        <v>0.36916512427091352</v>
      </c>
      <c r="M33" s="59">
        <f t="shared" si="20"/>
        <v>0.31483606180019841</v>
      </c>
      <c r="N33" s="61">
        <f t="shared" si="20"/>
        <v>0.20307809364571752</v>
      </c>
      <c r="O33" s="60">
        <f t="shared" si="20"/>
        <v>0.17151765448729503</v>
      </c>
      <c r="P33" s="59">
        <f t="shared" si="20"/>
        <v>0.1753025696490185</v>
      </c>
      <c r="Q33" s="62" t="s">
        <v>58</v>
      </c>
    </row>
    <row r="34" spans="1:19" x14ac:dyDescent="0.25">
      <c r="E34" s="63"/>
      <c r="G34" s="64"/>
      <c r="H34" s="63"/>
      <c r="I34" s="63"/>
      <c r="J34" s="63"/>
      <c r="K34" s="63"/>
      <c r="L34" s="63"/>
      <c r="M34" s="63"/>
      <c r="N34" s="63"/>
      <c r="O34" s="63"/>
      <c r="P34" s="63"/>
    </row>
    <row r="35" spans="1:19" x14ac:dyDescent="0.25">
      <c r="D35" t="s">
        <v>59</v>
      </c>
      <c r="E35" s="64">
        <f>E28</f>
        <v>0</v>
      </c>
      <c r="F35" s="64">
        <f>F28</f>
        <v>60541.096204003319</v>
      </c>
      <c r="G35" s="64">
        <f t="shared" ref="G35:P35" si="21">G28</f>
        <v>91801.984507334535</v>
      </c>
      <c r="H35" s="64">
        <f t="shared" si="21"/>
        <v>129197.72355368266</v>
      </c>
      <c r="I35" s="64">
        <f t="shared" si="21"/>
        <v>258125.82337522984</v>
      </c>
      <c r="J35" s="64">
        <f t="shared" si="21"/>
        <v>491366.66528477543</v>
      </c>
      <c r="K35" s="64">
        <f t="shared" si="21"/>
        <v>707825.92737043463</v>
      </c>
      <c r="L35" s="64">
        <f t="shared" si="21"/>
        <v>751593.18375441723</v>
      </c>
      <c r="M35" s="64">
        <f t="shared" si="21"/>
        <v>744371.7735426554</v>
      </c>
      <c r="N35" s="64">
        <f t="shared" si="21"/>
        <v>641456.45375589549</v>
      </c>
      <c r="O35" s="64">
        <f t="shared" si="21"/>
        <v>517493.67974059237</v>
      </c>
      <c r="P35" s="64">
        <f t="shared" si="21"/>
        <v>607406.60788743792</v>
      </c>
      <c r="Q35" s="65">
        <f>SUM(E35:P35)</f>
        <v>5001180.9189764578</v>
      </c>
      <c r="R35" s="63"/>
      <c r="S35" s="66"/>
    </row>
    <row r="36" spans="1:19" x14ac:dyDescent="0.25">
      <c r="D36" t="s">
        <v>60</v>
      </c>
      <c r="E36" s="64">
        <f>E29</f>
        <v>0</v>
      </c>
      <c r="F36" s="64">
        <f t="shared" ref="F36:P36" si="22">F29</f>
        <v>87498.742933857866</v>
      </c>
      <c r="G36" s="64">
        <f t="shared" si="22"/>
        <v>140912.15352781134</v>
      </c>
      <c r="H36" s="64">
        <f t="shared" si="22"/>
        <v>212088.33046150114</v>
      </c>
      <c r="I36" s="64">
        <f t="shared" si="22"/>
        <v>268143.33856127685</v>
      </c>
      <c r="J36" s="64">
        <f t="shared" si="22"/>
        <v>258458.59146689702</v>
      </c>
      <c r="K36" s="64">
        <f t="shared" si="22"/>
        <v>247015.63906408611</v>
      </c>
      <c r="L36" s="64">
        <f t="shared" si="22"/>
        <v>316415.36737634201</v>
      </c>
      <c r="M36" s="64">
        <f t="shared" si="22"/>
        <v>444665.86542809202</v>
      </c>
      <c r="N36" s="64">
        <f t="shared" si="22"/>
        <v>242606.90264111562</v>
      </c>
      <c r="O36" s="64">
        <f t="shared" si="22"/>
        <v>357452.01306445274</v>
      </c>
      <c r="P36" s="64">
        <f t="shared" si="22"/>
        <v>457122.75332704891</v>
      </c>
      <c r="Q36" s="65">
        <f>SUM(E36:P36)</f>
        <v>3032379.6978524816</v>
      </c>
      <c r="R36" s="63"/>
    </row>
    <row r="37" spans="1:19" x14ac:dyDescent="0.25">
      <c r="D37" s="67"/>
      <c r="E37" s="67"/>
      <c r="F37" s="68">
        <f>SUM(F35:F36)</f>
        <v>148039.83913786119</v>
      </c>
      <c r="G37" s="68">
        <f t="shared" ref="G37:P37" si="23">SUM(G35:G36)</f>
        <v>232714.13803514588</v>
      </c>
      <c r="H37" s="68">
        <f t="shared" si="23"/>
        <v>341286.05401518382</v>
      </c>
      <c r="I37" s="68">
        <f t="shared" si="23"/>
        <v>526269.16193650663</v>
      </c>
      <c r="J37" s="68">
        <f t="shared" si="23"/>
        <v>749825.25675167248</v>
      </c>
      <c r="K37" s="68">
        <f t="shared" si="23"/>
        <v>954841.56643452076</v>
      </c>
      <c r="L37" s="68">
        <f t="shared" si="23"/>
        <v>1068008.5511307593</v>
      </c>
      <c r="M37" s="68">
        <f t="shared" si="23"/>
        <v>1189037.6389707474</v>
      </c>
      <c r="N37" s="68">
        <f t="shared" si="23"/>
        <v>884063.35639701108</v>
      </c>
      <c r="O37" s="68">
        <f t="shared" si="23"/>
        <v>874945.69280504505</v>
      </c>
      <c r="P37" s="68">
        <f t="shared" si="23"/>
        <v>1064529.3612144869</v>
      </c>
      <c r="Q37" s="69">
        <f>SUM(Q35:Q36)</f>
        <v>8033560.6168289389</v>
      </c>
      <c r="R37" s="70"/>
    </row>
    <row r="38" spans="1:19" x14ac:dyDescent="0.25">
      <c r="C38" s="67"/>
      <c r="D38" s="71"/>
      <c r="E38" s="71"/>
      <c r="F38" s="71"/>
      <c r="G38" s="71"/>
      <c r="H38" s="71"/>
      <c r="I38" s="71"/>
      <c r="L38" s="71"/>
      <c r="M38" s="71"/>
      <c r="Q38" s="72"/>
    </row>
    <row r="39" spans="1:19" x14ac:dyDescent="0.25">
      <c r="A39" s="73" t="s">
        <v>61</v>
      </c>
      <c r="B39" s="67"/>
      <c r="C39" s="71"/>
      <c r="Q39" s="65"/>
      <c r="R39" s="74"/>
    </row>
    <row r="40" spans="1:19" x14ac:dyDescent="0.25">
      <c r="A40" s="75" t="s">
        <v>62</v>
      </c>
      <c r="B40" s="71"/>
      <c r="Q40" s="65"/>
      <c r="R40" s="76"/>
    </row>
    <row r="41" spans="1:19" x14ac:dyDescent="0.25">
      <c r="A41" s="77">
        <v>46023</v>
      </c>
      <c r="B41" s="78">
        <v>0.2</v>
      </c>
      <c r="D41" s="79"/>
      <c r="Q41" s="65"/>
      <c r="R41" s="76"/>
    </row>
    <row r="42" spans="1:19" x14ac:dyDescent="0.25">
      <c r="A42" s="77">
        <v>46054</v>
      </c>
      <c r="B42" s="78">
        <v>0.3</v>
      </c>
      <c r="D42" s="79"/>
      <c r="Q42" s="65"/>
      <c r="R42" s="76"/>
    </row>
    <row r="43" spans="1:19" x14ac:dyDescent="0.25">
      <c r="A43" s="77">
        <v>46082</v>
      </c>
      <c r="B43" s="78">
        <v>0.41</v>
      </c>
      <c r="D43" s="79"/>
      <c r="Q43" s="80"/>
      <c r="R43" s="81"/>
    </row>
    <row r="44" spans="1:19" x14ac:dyDescent="0.25">
      <c r="A44" s="77">
        <v>46113</v>
      </c>
      <c r="B44" s="78">
        <v>0.51</v>
      </c>
      <c r="D44" s="79"/>
      <c r="Q44" s="80"/>
      <c r="R44" s="81"/>
    </row>
    <row r="45" spans="1:19" x14ac:dyDescent="0.25">
      <c r="A45" s="77">
        <v>46143</v>
      </c>
      <c r="B45" s="78">
        <v>0.65</v>
      </c>
      <c r="D45" s="79"/>
      <c r="Q45" s="80"/>
      <c r="R45" s="66"/>
    </row>
    <row r="46" spans="1:19" x14ac:dyDescent="0.25">
      <c r="A46" s="77">
        <v>46174</v>
      </c>
      <c r="B46" s="78">
        <v>0.76</v>
      </c>
      <c r="D46" s="79"/>
      <c r="Q46" s="80"/>
      <c r="R46" s="66"/>
    </row>
    <row r="47" spans="1:19" x14ac:dyDescent="0.25">
      <c r="A47" s="77">
        <v>46204</v>
      </c>
      <c r="B47" s="78">
        <v>0.82</v>
      </c>
      <c r="D47" s="79"/>
      <c r="E47" s="34"/>
      <c r="F47" s="34"/>
      <c r="G47" s="34"/>
      <c r="H47" s="34"/>
      <c r="I47" s="34"/>
      <c r="J47" s="34"/>
      <c r="K47" s="34"/>
      <c r="L47" s="34"/>
      <c r="M47" s="34"/>
      <c r="N47" s="34"/>
      <c r="Q47" s="82"/>
      <c r="R47" s="83"/>
    </row>
    <row r="48" spans="1:19" x14ac:dyDescent="0.25">
      <c r="A48" s="77">
        <v>46235</v>
      </c>
      <c r="B48" s="78">
        <v>0.83</v>
      </c>
      <c r="D48" s="79"/>
    </row>
    <row r="49" spans="1:24" x14ac:dyDescent="0.25">
      <c r="A49" s="77">
        <v>46266</v>
      </c>
      <c r="B49" s="78">
        <v>0.83</v>
      </c>
      <c r="D49" s="79"/>
      <c r="N49" s="80"/>
      <c r="Q49" s="80"/>
      <c r="R49" s="84"/>
    </row>
    <row r="50" spans="1:24" x14ac:dyDescent="0.25">
      <c r="A50" s="77">
        <v>46296</v>
      </c>
      <c r="B50" s="78">
        <v>0.83</v>
      </c>
      <c r="D50" s="79"/>
      <c r="R50" s="83"/>
    </row>
    <row r="51" spans="1:24" x14ac:dyDescent="0.25">
      <c r="A51" s="77">
        <v>46327</v>
      </c>
      <c r="B51" s="78">
        <v>0.83</v>
      </c>
      <c r="D51" s="79"/>
    </row>
    <row r="52" spans="1:24" x14ac:dyDescent="0.25">
      <c r="A52" s="77">
        <v>46357</v>
      </c>
      <c r="B52" s="78">
        <v>0.83</v>
      </c>
      <c r="D52" s="79"/>
    </row>
    <row r="53" spans="1:24" x14ac:dyDescent="0.25">
      <c r="A53" s="77">
        <v>46388</v>
      </c>
      <c r="B53" s="78">
        <v>0.83</v>
      </c>
      <c r="D53" s="79"/>
    </row>
    <row r="57" spans="1:24" x14ac:dyDescent="0.25">
      <c r="A57" s="85" t="s">
        <v>63</v>
      </c>
      <c r="B57" s="86">
        <v>45839</v>
      </c>
      <c r="C57" s="86">
        <v>45870</v>
      </c>
      <c r="D57" s="86">
        <v>45901</v>
      </c>
      <c r="E57" s="86">
        <v>45931</v>
      </c>
      <c r="F57" s="86">
        <v>45962</v>
      </c>
      <c r="G57" s="86">
        <v>45992</v>
      </c>
      <c r="H57" s="86">
        <v>46023</v>
      </c>
      <c r="I57" s="86">
        <v>46054</v>
      </c>
      <c r="J57" s="86">
        <v>46082</v>
      </c>
      <c r="K57" s="86">
        <v>46113</v>
      </c>
      <c r="L57" s="86">
        <v>46023</v>
      </c>
      <c r="M57" s="86">
        <v>46054</v>
      </c>
      <c r="N57" s="86">
        <v>46082</v>
      </c>
      <c r="O57" s="86">
        <v>46113</v>
      </c>
      <c r="P57" s="86"/>
      <c r="Q57" s="86">
        <v>46143</v>
      </c>
      <c r="R57" s="86">
        <v>46174</v>
      </c>
      <c r="S57" s="86">
        <v>46204</v>
      </c>
      <c r="T57" s="86">
        <v>46235</v>
      </c>
      <c r="U57" s="86">
        <v>46266</v>
      </c>
      <c r="V57" s="86">
        <v>46296</v>
      </c>
      <c r="W57" s="86">
        <v>46327</v>
      </c>
      <c r="X57" s="86">
        <v>46357</v>
      </c>
    </row>
    <row r="58" spans="1:24" x14ac:dyDescent="0.25">
      <c r="A58" s="87" t="s">
        <v>62</v>
      </c>
      <c r="B58" s="88">
        <v>738.08196896739241</v>
      </c>
      <c r="C58" s="88">
        <v>974.10335150216838</v>
      </c>
      <c r="D58" s="88">
        <v>1263.8363399382406</v>
      </c>
      <c r="E58" s="88">
        <v>1592.7752937006667</v>
      </c>
      <c r="F58" s="88">
        <v>1950.9462014322751</v>
      </c>
      <c r="G58" s="88">
        <v>2347.8465457721245</v>
      </c>
      <c r="H58" s="88">
        <v>2733.2742148703596</v>
      </c>
      <c r="I58" s="88">
        <v>3139.6083055792074</v>
      </c>
      <c r="J58" s="88">
        <v>3577.1108436005952</v>
      </c>
      <c r="K58" s="88">
        <v>4047.3985676604925</v>
      </c>
      <c r="L58" s="88">
        <v>2733.2742148703596</v>
      </c>
      <c r="M58" s="88">
        <v>3139.6083055792074</v>
      </c>
      <c r="N58" s="88">
        <v>3577.1108436005952</v>
      </c>
      <c r="O58" s="88">
        <v>4047.3985676604925</v>
      </c>
      <c r="P58" s="88"/>
      <c r="Q58" s="88">
        <v>4546.7600302117116</v>
      </c>
      <c r="R58" s="88">
        <v>5075.9050474392998</v>
      </c>
      <c r="S58" s="88">
        <v>5561.3817149277329</v>
      </c>
      <c r="T58" s="88">
        <v>6082.503565837078</v>
      </c>
      <c r="U58" s="88">
        <v>6623.3451348851131</v>
      </c>
      <c r="V58" s="88">
        <v>7178.7039338645573</v>
      </c>
      <c r="W58" s="88">
        <v>7750.6018249294448</v>
      </c>
      <c r="X58" s="88">
        <v>8335.8789469293806</v>
      </c>
    </row>
    <row r="59" spans="1:24" x14ac:dyDescent="0.25">
      <c r="A59" s="87" t="s">
        <v>64</v>
      </c>
      <c r="B59" s="88">
        <v>56.886038299559047</v>
      </c>
      <c r="C59" s="88">
        <v>69.188137819278452</v>
      </c>
      <c r="D59" s="88">
        <v>82.670782840249984</v>
      </c>
      <c r="E59" s="88">
        <v>97.770745420024014</v>
      </c>
      <c r="F59" s="88">
        <v>114.30458162445457</v>
      </c>
      <c r="G59" s="88">
        <v>132.37739804904677</v>
      </c>
      <c r="H59" s="88">
        <v>36.167062866440261</v>
      </c>
      <c r="I59" s="88">
        <v>56.472750445653425</v>
      </c>
      <c r="J59" s="88">
        <v>78.704051315062671</v>
      </c>
      <c r="K59" s="88">
        <v>102.97792689249246</v>
      </c>
      <c r="L59" s="88">
        <v>36.167062866440261</v>
      </c>
      <c r="M59" s="88">
        <v>56.472750445653425</v>
      </c>
      <c r="N59" s="88">
        <v>78.704051315062671</v>
      </c>
      <c r="O59" s="88">
        <v>102.97792689249246</v>
      </c>
      <c r="P59" s="88"/>
      <c r="Q59" s="88">
        <v>128.63901580443431</v>
      </c>
      <c r="R59" s="88">
        <v>155.7241892516144</v>
      </c>
      <c r="S59" s="88">
        <v>185.65251719477939</v>
      </c>
      <c r="T59" s="88">
        <v>217.47236216259807</v>
      </c>
      <c r="U59" s="88">
        <v>251.28098002940365</v>
      </c>
      <c r="V59" s="88">
        <v>287.15853819082815</v>
      </c>
      <c r="W59" s="88">
        <v>325.26381599769718</v>
      </c>
      <c r="X59" s="88">
        <v>369.63077301934175</v>
      </c>
    </row>
    <row r="60" spans="1:24" x14ac:dyDescent="0.25">
      <c r="A60" s="87" t="s">
        <v>65</v>
      </c>
      <c r="B60" s="88">
        <v>0</v>
      </c>
      <c r="C60" s="88">
        <v>0</v>
      </c>
      <c r="D60" s="88">
        <v>0</v>
      </c>
      <c r="E60" s="88">
        <v>0</v>
      </c>
      <c r="F60" s="88">
        <v>0</v>
      </c>
      <c r="G60" s="88">
        <v>0</v>
      </c>
      <c r="H60" s="88">
        <v>6.2670483878711929</v>
      </c>
      <c r="I60" s="88">
        <v>10.866170233644548</v>
      </c>
      <c r="J60" s="88">
        <v>15.938203268007365</v>
      </c>
      <c r="K60" s="88">
        <v>21.512733636461157</v>
      </c>
      <c r="L60" s="88">
        <v>6.2670483878711929</v>
      </c>
      <c r="M60" s="88">
        <v>10.866170233644548</v>
      </c>
      <c r="N60" s="88">
        <v>15.938203268007365</v>
      </c>
      <c r="O60" s="88">
        <v>21.512733636461157</v>
      </c>
      <c r="P60" s="88"/>
      <c r="Q60" s="88">
        <v>27.449981992139474</v>
      </c>
      <c r="R60" s="88">
        <v>33.760717093347949</v>
      </c>
      <c r="S60" s="88">
        <v>40.177371590407873</v>
      </c>
      <c r="T60" s="88">
        <v>46.98145807477264</v>
      </c>
      <c r="U60" s="88">
        <v>54.176861821435907</v>
      </c>
      <c r="V60" s="88">
        <v>61.764472039788444</v>
      </c>
      <c r="W60" s="88">
        <v>69.76104068191043</v>
      </c>
      <c r="X60" s="88">
        <v>79.019779479940084</v>
      </c>
    </row>
    <row r="61" spans="1:24" x14ac:dyDescent="0.25">
      <c r="A61" s="89" t="s">
        <v>66</v>
      </c>
      <c r="B61" s="90"/>
      <c r="C61" s="90"/>
      <c r="D61" s="90">
        <v>1960</v>
      </c>
      <c r="E61" s="90"/>
      <c r="F61" s="90"/>
      <c r="G61" s="90">
        <v>888</v>
      </c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</row>
    <row r="62" spans="1:24" x14ac:dyDescent="0.25">
      <c r="A62" s="89" t="s">
        <v>67</v>
      </c>
      <c r="B62" s="90">
        <f>SUM(B58:B61)</f>
        <v>794.96800726695142</v>
      </c>
      <c r="C62" s="90">
        <f t="shared" ref="C62:X62" si="24">SUM(C58:C61)</f>
        <v>1043.2914893214468</v>
      </c>
      <c r="D62" s="90">
        <f t="shared" si="24"/>
        <v>3306.5071227784906</v>
      </c>
      <c r="E62" s="90">
        <f t="shared" si="24"/>
        <v>1690.5460391206907</v>
      </c>
      <c r="F62" s="90">
        <f t="shared" si="24"/>
        <v>2065.2507830567297</v>
      </c>
      <c r="G62" s="90">
        <f t="shared" si="24"/>
        <v>3368.2239438211714</v>
      </c>
      <c r="H62" s="90">
        <f t="shared" si="24"/>
        <v>2775.7083261246707</v>
      </c>
      <c r="I62" s="90">
        <f t="shared" si="24"/>
        <v>3206.947226258505</v>
      </c>
      <c r="J62" s="90">
        <f t="shared" si="24"/>
        <v>3671.7530981836653</v>
      </c>
      <c r="K62" s="90">
        <f t="shared" si="24"/>
        <v>4171.8892281894459</v>
      </c>
      <c r="L62" s="90">
        <f t="shared" si="24"/>
        <v>2775.7083261246707</v>
      </c>
      <c r="M62" s="90">
        <f t="shared" si="24"/>
        <v>3206.947226258505</v>
      </c>
      <c r="N62" s="90">
        <f t="shared" si="24"/>
        <v>3671.7530981836653</v>
      </c>
      <c r="O62" s="90">
        <f t="shared" si="24"/>
        <v>4171.8892281894459</v>
      </c>
      <c r="P62" s="90"/>
      <c r="Q62" s="90">
        <f t="shared" si="24"/>
        <v>4702.8490280082851</v>
      </c>
      <c r="R62" s="90">
        <f t="shared" si="24"/>
        <v>5265.3899537842617</v>
      </c>
      <c r="S62" s="90">
        <f t="shared" si="24"/>
        <v>5787.2116037129208</v>
      </c>
      <c r="T62" s="90">
        <f t="shared" si="24"/>
        <v>6346.9573860744486</v>
      </c>
      <c r="U62" s="90">
        <f t="shared" si="24"/>
        <v>6928.8029767359521</v>
      </c>
      <c r="V62" s="90">
        <f t="shared" si="24"/>
        <v>7527.6269440951737</v>
      </c>
      <c r="W62" s="90">
        <f t="shared" si="24"/>
        <v>8145.626681609052</v>
      </c>
      <c r="X62" s="90">
        <f t="shared" si="24"/>
        <v>8784.5294994286633</v>
      </c>
    </row>
    <row r="64" spans="1:24" x14ac:dyDescent="0.25">
      <c r="A64" s="85" t="s">
        <v>63</v>
      </c>
      <c r="B64" s="86">
        <v>45839</v>
      </c>
      <c r="C64" s="86">
        <v>45870</v>
      </c>
      <c r="D64" s="86">
        <v>45901</v>
      </c>
      <c r="E64" s="86">
        <v>45931</v>
      </c>
      <c r="F64" s="86">
        <v>45962</v>
      </c>
      <c r="G64" s="86">
        <v>45992</v>
      </c>
      <c r="H64" s="86">
        <v>46023</v>
      </c>
      <c r="I64" s="86">
        <v>46054</v>
      </c>
      <c r="J64" s="86">
        <v>46082</v>
      </c>
      <c r="K64" s="86">
        <v>46113</v>
      </c>
      <c r="L64" s="86">
        <v>46023</v>
      </c>
      <c r="M64" s="86">
        <v>46054</v>
      </c>
      <c r="N64" s="86">
        <v>46082</v>
      </c>
      <c r="O64" s="86">
        <v>46113</v>
      </c>
      <c r="P64" s="86"/>
      <c r="Q64" s="86">
        <v>46143</v>
      </c>
      <c r="R64" s="86">
        <v>46174</v>
      </c>
      <c r="S64" s="86">
        <v>46204</v>
      </c>
      <c r="T64" s="86">
        <v>46235</v>
      </c>
      <c r="U64" s="86">
        <v>46266</v>
      </c>
      <c r="V64" s="86">
        <v>46296</v>
      </c>
      <c r="W64" s="86">
        <v>46327</v>
      </c>
      <c r="X64" s="86">
        <v>46357</v>
      </c>
    </row>
    <row r="65" spans="1:24" x14ac:dyDescent="0.25">
      <c r="A65" s="87" t="s">
        <v>62</v>
      </c>
      <c r="B65" s="88"/>
      <c r="C65" s="88"/>
      <c r="D65" s="91">
        <f>(B58+D58+B61+D61)/D68</f>
        <v>0.96597399308422427</v>
      </c>
      <c r="E65" s="88"/>
      <c r="F65" s="88"/>
      <c r="G65" s="91">
        <f>(E58+F58+G58+G61)/G68</f>
        <v>0.95164911271209029</v>
      </c>
      <c r="H65" s="88"/>
      <c r="I65" s="88"/>
      <c r="J65" s="91">
        <f>(H58+I58+J58+J61)/J68</f>
        <v>0.97882674186319241</v>
      </c>
      <c r="K65" s="88"/>
      <c r="L65" s="88"/>
      <c r="M65" s="88"/>
      <c r="N65" s="91">
        <f>(L58+M58+N58+N61)/N68</f>
        <v>0.97882674186319241</v>
      </c>
      <c r="O65" s="88"/>
      <c r="P65" s="88"/>
      <c r="Q65" s="88"/>
      <c r="R65" s="91">
        <f>(K58+Q58+R58+R61)/R68</f>
        <v>0.96675669713244494</v>
      </c>
      <c r="S65" s="88"/>
      <c r="T65" s="88"/>
      <c r="U65" s="91">
        <f>(S58+T58+U58+U61)/U68</f>
        <v>0.95825721444322498</v>
      </c>
      <c r="V65" s="88"/>
      <c r="W65" s="88"/>
      <c r="X65" s="91">
        <f>(V58+W58+X58+X61)/X68</f>
        <v>0.95123849069607669</v>
      </c>
    </row>
    <row r="66" spans="1:24" x14ac:dyDescent="0.25">
      <c r="A66" s="87" t="s">
        <v>64</v>
      </c>
      <c r="B66" s="88"/>
      <c r="C66" s="88"/>
      <c r="D66" s="91">
        <f>(B59+D59)/D68</f>
        <v>3.402600691577589E-2</v>
      </c>
      <c r="E66" s="88"/>
      <c r="F66" s="88"/>
      <c r="G66" s="91">
        <f>(E59+F59+G59)/G68</f>
        <v>4.8350887287909608E-2</v>
      </c>
      <c r="H66" s="88"/>
      <c r="I66" s="88"/>
      <c r="J66" s="91">
        <f>(H59+I59+J59)/J68</f>
        <v>1.774773275389541E-2</v>
      </c>
      <c r="K66" s="88"/>
      <c r="L66" s="88"/>
      <c r="M66" s="88"/>
      <c r="N66" s="91">
        <f>(L59+M59+N59)/N68</f>
        <v>1.774773275389541E-2</v>
      </c>
      <c r="O66" s="88"/>
      <c r="P66" s="88"/>
      <c r="Q66" s="88"/>
      <c r="R66" s="91">
        <f>(K59+Q59+R59)/R68</f>
        <v>2.7393042424827801E-2</v>
      </c>
      <c r="S66" s="88"/>
      <c r="T66" s="88"/>
      <c r="U66" s="91">
        <f>(S59+T59+U59)/U68</f>
        <v>3.4328637766240747E-2</v>
      </c>
      <c r="V66" s="88"/>
      <c r="W66" s="88"/>
      <c r="X66" s="91">
        <f>(V59+W59+X59)/X68</f>
        <v>4.0152990243776693E-2</v>
      </c>
    </row>
    <row r="67" spans="1:24" x14ac:dyDescent="0.25">
      <c r="A67" s="87" t="s">
        <v>65</v>
      </c>
      <c r="B67" s="88">
        <v>0</v>
      </c>
      <c r="C67" s="88">
        <v>0</v>
      </c>
      <c r="D67" s="88">
        <f>(B60+D60)</f>
        <v>0</v>
      </c>
      <c r="E67" s="88">
        <v>0</v>
      </c>
      <c r="F67" s="88">
        <v>0</v>
      </c>
      <c r="G67" s="88">
        <f>(E60+F60+G60)</f>
        <v>0</v>
      </c>
      <c r="H67" s="88"/>
      <c r="I67" s="88"/>
      <c r="J67" s="92">
        <f>(H60+I60+J60)/J68</f>
        <v>3.4255253829121243E-3</v>
      </c>
      <c r="K67" s="88"/>
      <c r="L67" s="88"/>
      <c r="M67" s="88"/>
      <c r="N67" s="92">
        <f>(L60+M60+N60)/N68</f>
        <v>3.4255253829121243E-3</v>
      </c>
      <c r="O67" s="88"/>
      <c r="P67" s="88"/>
      <c r="Q67" s="88"/>
      <c r="R67" s="92">
        <f>(K60+Q60+R60)/R68</f>
        <v>5.8502604427271964E-3</v>
      </c>
      <c r="S67" s="88"/>
      <c r="T67" s="88"/>
      <c r="U67" s="92">
        <f>(S60+T60+U60)/U68</f>
        <v>7.4141477905343136E-3</v>
      </c>
      <c r="V67" s="88"/>
      <c r="W67" s="88"/>
      <c r="X67" s="92">
        <f>(V60+W60+X60)/X68</f>
        <v>8.6085190601466258E-3</v>
      </c>
    </row>
    <row r="68" spans="1:24" x14ac:dyDescent="0.25">
      <c r="A68" s="89" t="s">
        <v>67</v>
      </c>
      <c r="B68" s="90"/>
      <c r="C68" s="90"/>
      <c r="D68" s="90">
        <f>B62+D62</f>
        <v>4101.4751300454418</v>
      </c>
      <c r="E68" s="90"/>
      <c r="F68" s="90"/>
      <c r="G68" s="88">
        <f>E62+F62+G62</f>
        <v>7124.0207659985917</v>
      </c>
      <c r="H68" s="90"/>
      <c r="I68" s="90"/>
      <c r="J68" s="88">
        <f>H62+I62+J62</f>
        <v>9654.408650566842</v>
      </c>
      <c r="K68" s="90"/>
      <c r="L68" s="90"/>
      <c r="M68" s="90"/>
      <c r="N68" s="88">
        <f>L62+M62+N62</f>
        <v>9654.408650566842</v>
      </c>
      <c r="O68" s="90"/>
      <c r="P68" s="90"/>
      <c r="Q68" s="90"/>
      <c r="R68" s="88">
        <f>K62+Q62+R62</f>
        <v>14140.128209981995</v>
      </c>
      <c r="S68" s="90"/>
      <c r="T68" s="90"/>
      <c r="U68" s="88">
        <f>S62+T62+U62</f>
        <v>19062.971966523321</v>
      </c>
      <c r="V68" s="90"/>
      <c r="W68" s="90"/>
      <c r="X68" s="88">
        <f>V62+W62+X62</f>
        <v>24457.78312513289</v>
      </c>
    </row>
  </sheetData>
  <mergeCells count="2">
    <mergeCell ref="E2:P2"/>
    <mergeCell ref="Q2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Affordability Detailed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2026-01-26T00:07:58Z</dcterms:created>
  <dcterms:modified xsi:type="dcterms:W3CDTF">2026-01-26T00:08:23Z</dcterms:modified>
</cp:coreProperties>
</file>