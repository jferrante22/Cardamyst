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ilestonepharma.sharepoint.com/sites/MIST/Accounting/Revenue Recognition/Copay and Affordability/"/>
    </mc:Choice>
  </mc:AlternateContent>
  <xr:revisionPtr revIDLastSave="0" documentId="8_{D5AFC1BC-C0DD-4518-908B-BA7C568BD8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ssumptions" sheetId="1" r:id="rId1"/>
    <sheet name="Model" sheetId="2" r:id="rId2"/>
    <sheet name="Charts" sheetId="3" r:id="rId3"/>
    <sheet name="Accruals" sheetId="4" r:id="rId4"/>
    <sheet name="Scenarios" sheetId="5" r:id="rId5"/>
    <sheet name="Sensitivity" sheetId="6" r:id="rId6"/>
    <sheet name="exFactory Demand Model" sheetId="9" r:id="rId7"/>
    <sheet name="Demand Model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4" l="1"/>
  <c r="O11" i="4"/>
  <c r="N11" i="4"/>
  <c r="M11" i="4"/>
  <c r="L11" i="4"/>
  <c r="K11" i="4"/>
  <c r="J11" i="4"/>
  <c r="I11" i="4"/>
  <c r="H11" i="4"/>
  <c r="G11" i="4"/>
  <c r="F11" i="4"/>
  <c r="E11" i="4"/>
  <c r="E16" i="9"/>
  <c r="E15" i="9"/>
  <c r="C16" i="9" s="1"/>
  <c r="G16" i="9" s="1"/>
  <c r="E14" i="9"/>
  <c r="C15" i="9" s="1"/>
  <c r="G15" i="9" s="1"/>
  <c r="E13" i="9"/>
  <c r="C14" i="9" s="1"/>
  <c r="G14" i="9" s="1"/>
  <c r="E12" i="9"/>
  <c r="C13" i="9" s="1"/>
  <c r="G13" i="9" s="1"/>
  <c r="C12" i="9"/>
  <c r="G12" i="9" s="1"/>
  <c r="E11" i="9"/>
  <c r="E10" i="9"/>
  <c r="C11" i="9" s="1"/>
  <c r="G11" i="9" s="1"/>
  <c r="E9" i="9"/>
  <c r="C10" i="9" s="1"/>
  <c r="G10" i="9" s="1"/>
  <c r="E8" i="9"/>
  <c r="C9" i="9" s="1"/>
  <c r="G9" i="9" s="1"/>
  <c r="E7" i="9"/>
  <c r="C8" i="9" s="1"/>
  <c r="G8" i="9" s="1"/>
  <c r="C7" i="9"/>
  <c r="G7" i="9" s="1"/>
  <c r="E6" i="9"/>
  <c r="E5" i="9"/>
  <c r="C6" i="9" s="1"/>
  <c r="G6" i="9" s="1"/>
  <c r="E4" i="9"/>
  <c r="C5" i="9" s="1"/>
  <c r="G5" i="9" s="1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E3" i="9"/>
  <c r="C4" i="9" s="1"/>
  <c r="Q29" i="2"/>
  <c r="F5" i="2"/>
  <c r="G5" i="2"/>
  <c r="H5" i="2"/>
  <c r="I5" i="2"/>
  <c r="J5" i="2"/>
  <c r="K5" i="2"/>
  <c r="L5" i="2"/>
  <c r="M5" i="2"/>
  <c r="N5" i="2"/>
  <c r="O5" i="2"/>
  <c r="P5" i="2"/>
  <c r="E5" i="2"/>
  <c r="E4" i="2"/>
  <c r="F4" i="2"/>
  <c r="G4" i="2"/>
  <c r="H4" i="2"/>
  <c r="I4" i="2"/>
  <c r="J4" i="2"/>
  <c r="K4" i="2"/>
  <c r="L4" i="2"/>
  <c r="M4" i="2"/>
  <c r="N4" i="2"/>
  <c r="O4" i="2"/>
  <c r="P4" i="2"/>
  <c r="D19" i="8"/>
  <c r="E19" i="8"/>
  <c r="F19" i="8"/>
  <c r="G19" i="8"/>
  <c r="H19" i="8"/>
  <c r="I19" i="8"/>
  <c r="J19" i="8"/>
  <c r="K19" i="8"/>
  <c r="L19" i="8"/>
  <c r="M19" i="8"/>
  <c r="N19" i="8"/>
  <c r="C19" i="8"/>
  <c r="C17" i="8"/>
  <c r="C18" i="8" s="1"/>
  <c r="D18" i="8"/>
  <c r="E18" i="8"/>
  <c r="F18" i="8"/>
  <c r="G18" i="8"/>
  <c r="H18" i="8"/>
  <c r="I18" i="8"/>
  <c r="J18" i="8"/>
  <c r="K18" i="8"/>
  <c r="L18" i="8"/>
  <c r="M18" i="8"/>
  <c r="N18" i="8"/>
  <c r="N17" i="8"/>
  <c r="M17" i="8"/>
  <c r="L17" i="8"/>
  <c r="K17" i="8"/>
  <c r="J17" i="8"/>
  <c r="I17" i="8"/>
  <c r="H17" i="8"/>
  <c r="G17" i="8"/>
  <c r="F17" i="8"/>
  <c r="E17" i="8"/>
  <c r="D17" i="8"/>
  <c r="N15" i="8"/>
  <c r="N16" i="8" s="1"/>
  <c r="M15" i="8"/>
  <c r="M16" i="8" s="1"/>
  <c r="L15" i="8"/>
  <c r="L16" i="8" s="1"/>
  <c r="K15" i="8"/>
  <c r="K16" i="8" s="1"/>
  <c r="J15" i="8"/>
  <c r="J16" i="8" s="1"/>
  <c r="I15" i="8"/>
  <c r="I16" i="8" s="1"/>
  <c r="H15" i="8"/>
  <c r="H16" i="8" s="1"/>
  <c r="G15" i="8"/>
  <c r="F15" i="8"/>
  <c r="F16" i="8" s="1"/>
  <c r="E15" i="8"/>
  <c r="E16" i="8"/>
  <c r="D15" i="8"/>
  <c r="C15" i="8"/>
  <c r="C16" i="8" s="1"/>
  <c r="D16" i="8"/>
  <c r="G16" i="8"/>
  <c r="O19" i="8"/>
  <c r="O14" i="8"/>
  <c r="O18" i="8" l="1"/>
  <c r="O16" i="8"/>
  <c r="O10" i="8" l="1"/>
  <c r="O11" i="8"/>
  <c r="D9" i="8"/>
  <c r="E9" i="8"/>
  <c r="F9" i="8"/>
  <c r="G9" i="8"/>
  <c r="H9" i="8"/>
  <c r="I9" i="8"/>
  <c r="J9" i="8"/>
  <c r="K9" i="8"/>
  <c r="L9" i="8"/>
  <c r="M9" i="8"/>
  <c r="N9" i="8"/>
  <c r="C9" i="8"/>
  <c r="E7" i="2"/>
  <c r="O9" i="8" l="1"/>
  <c r="F23" i="2" l="1"/>
  <c r="P18" i="4" l="1"/>
  <c r="J18" i="4"/>
  <c r="G18" i="4"/>
  <c r="E18" i="4"/>
  <c r="B10" i="6"/>
  <c r="B9" i="6"/>
  <c r="O20" i="5"/>
  <c r="N20" i="5"/>
  <c r="G20" i="5"/>
  <c r="Q14" i="5"/>
  <c r="P8" i="5"/>
  <c r="P20" i="5" s="1"/>
  <c r="O8" i="5"/>
  <c r="N8" i="5"/>
  <c r="M8" i="5"/>
  <c r="M20" i="5" s="1"/>
  <c r="L8" i="5"/>
  <c r="L20" i="5" s="1"/>
  <c r="K8" i="5"/>
  <c r="K20" i="5" s="1"/>
  <c r="J8" i="5"/>
  <c r="J20" i="5" s="1"/>
  <c r="I8" i="5"/>
  <c r="I20" i="5" s="1"/>
  <c r="H8" i="5"/>
  <c r="H20" i="5" s="1"/>
  <c r="G8" i="5"/>
  <c r="F8" i="5"/>
  <c r="F20" i="5" s="1"/>
  <c r="E8" i="5"/>
  <c r="E20" i="5" s="1"/>
  <c r="O18" i="4"/>
  <c r="N18" i="4"/>
  <c r="M18" i="4"/>
  <c r="L18" i="4"/>
  <c r="K18" i="4"/>
  <c r="I18" i="4"/>
  <c r="H18" i="4"/>
  <c r="F18" i="4"/>
  <c r="P17" i="4"/>
  <c r="O17" i="4"/>
  <c r="N17" i="4"/>
  <c r="M17" i="4"/>
  <c r="L17" i="4"/>
  <c r="K17" i="4"/>
  <c r="J17" i="4"/>
  <c r="I17" i="4"/>
  <c r="H17" i="4"/>
  <c r="G17" i="4"/>
  <c r="F17" i="4"/>
  <c r="E17" i="4"/>
  <c r="Q15" i="4"/>
  <c r="F13" i="4"/>
  <c r="P12" i="4"/>
  <c r="P13" i="4" s="1"/>
  <c r="O12" i="4"/>
  <c r="O13" i="4" s="1"/>
  <c r="N12" i="4"/>
  <c r="N13" i="4" s="1"/>
  <c r="M12" i="4"/>
  <c r="M13" i="4" s="1"/>
  <c r="L12" i="4"/>
  <c r="L13" i="4" s="1"/>
  <c r="K12" i="4"/>
  <c r="K13" i="4" s="1"/>
  <c r="J12" i="4"/>
  <c r="J13" i="4" s="1"/>
  <c r="I12" i="4"/>
  <c r="I13" i="4" s="1"/>
  <c r="H12" i="4"/>
  <c r="H13" i="4" s="1"/>
  <c r="G12" i="4"/>
  <c r="G13" i="4" s="1"/>
  <c r="F12" i="4"/>
  <c r="E12" i="4"/>
  <c r="E13" i="4" s="1"/>
  <c r="Q11" i="4"/>
  <c r="Q18" i="4" s="1"/>
  <c r="K26" i="2"/>
  <c r="M24" i="2"/>
  <c r="E15" i="3" s="1"/>
  <c r="P22" i="2"/>
  <c r="P26" i="2" s="1"/>
  <c r="O22" i="2"/>
  <c r="O26" i="2" s="1"/>
  <c r="N22" i="2"/>
  <c r="N26" i="2" s="1"/>
  <c r="M22" i="2"/>
  <c r="M26" i="2" s="1"/>
  <c r="L22" i="2"/>
  <c r="L26" i="2" s="1"/>
  <c r="K22" i="2"/>
  <c r="J22" i="2"/>
  <c r="J26" i="2" s="1"/>
  <c r="I22" i="2"/>
  <c r="I26" i="2" s="1"/>
  <c r="H22" i="2"/>
  <c r="H26" i="2" s="1"/>
  <c r="G22" i="2"/>
  <c r="G26" i="2" s="1"/>
  <c r="F22" i="2"/>
  <c r="F26" i="2" s="1"/>
  <c r="E22" i="2"/>
  <c r="E26" i="2" s="1"/>
  <c r="P21" i="2"/>
  <c r="O21" i="2"/>
  <c r="N21" i="2"/>
  <c r="M21" i="2"/>
  <c r="L21" i="2"/>
  <c r="K21" i="2"/>
  <c r="J21" i="2"/>
  <c r="I21" i="2"/>
  <c r="H21" i="2"/>
  <c r="G21" i="2"/>
  <c r="F21" i="2"/>
  <c r="E21" i="2"/>
  <c r="E24" i="2" s="1"/>
  <c r="P20" i="2"/>
  <c r="O20" i="2"/>
  <c r="N20" i="2"/>
  <c r="M20" i="2"/>
  <c r="L20" i="2"/>
  <c r="K20" i="2"/>
  <c r="J20" i="2"/>
  <c r="I20" i="2"/>
  <c r="H20" i="2"/>
  <c r="G20" i="2"/>
  <c r="F20" i="2"/>
  <c r="E20" i="2"/>
  <c r="P17" i="2"/>
  <c r="O17" i="2"/>
  <c r="N17" i="2"/>
  <c r="M17" i="2"/>
  <c r="L17" i="2"/>
  <c r="K17" i="2"/>
  <c r="J17" i="2"/>
  <c r="I17" i="2"/>
  <c r="H17" i="2"/>
  <c r="G17" i="2"/>
  <c r="F17" i="2"/>
  <c r="E17" i="2"/>
  <c r="P16" i="2"/>
  <c r="P15" i="2"/>
  <c r="O15" i="2"/>
  <c r="O16" i="2" s="1"/>
  <c r="N15" i="2"/>
  <c r="N16" i="2" s="1"/>
  <c r="M15" i="2"/>
  <c r="M16" i="2" s="1"/>
  <c r="L15" i="2"/>
  <c r="L16" i="2" s="1"/>
  <c r="K15" i="2"/>
  <c r="K16" i="2" s="1"/>
  <c r="J15" i="2"/>
  <c r="J16" i="2" s="1"/>
  <c r="I15" i="2"/>
  <c r="I16" i="2" s="1"/>
  <c r="H15" i="2"/>
  <c r="H16" i="2" s="1"/>
  <c r="G15" i="2"/>
  <c r="G16" i="2" s="1"/>
  <c r="F15" i="2"/>
  <c r="F16" i="2" s="1"/>
  <c r="E15" i="2"/>
  <c r="E16" i="2" s="1"/>
  <c r="P14" i="2"/>
  <c r="O14" i="2"/>
  <c r="N14" i="2"/>
  <c r="M14" i="2"/>
  <c r="L14" i="2"/>
  <c r="K14" i="2"/>
  <c r="J14" i="2"/>
  <c r="I14" i="2"/>
  <c r="H14" i="2"/>
  <c r="H18" i="2" s="1"/>
  <c r="H19" i="2" s="1"/>
  <c r="G14" i="2"/>
  <c r="F14" i="2"/>
  <c r="E14" i="2"/>
  <c r="G13" i="2"/>
  <c r="P12" i="2"/>
  <c r="P13" i="2" s="1"/>
  <c r="O12" i="2"/>
  <c r="O13" i="2" s="1"/>
  <c r="N12" i="2"/>
  <c r="N13" i="2" s="1"/>
  <c r="M12" i="2"/>
  <c r="M13" i="2" s="1"/>
  <c r="L12" i="2"/>
  <c r="L13" i="2" s="1"/>
  <c r="K12" i="2"/>
  <c r="K13" i="2" s="1"/>
  <c r="J12" i="2"/>
  <c r="J13" i="2" s="1"/>
  <c r="I12" i="2"/>
  <c r="I13" i="2" s="1"/>
  <c r="H12" i="2"/>
  <c r="H13" i="2" s="1"/>
  <c r="G12" i="2"/>
  <c r="F12" i="2"/>
  <c r="F13" i="2" s="1"/>
  <c r="E12" i="2"/>
  <c r="E13" i="2" s="1"/>
  <c r="P11" i="2"/>
  <c r="O11" i="2"/>
  <c r="N11" i="2"/>
  <c r="M11" i="2"/>
  <c r="L11" i="2"/>
  <c r="K11" i="2"/>
  <c r="J11" i="2"/>
  <c r="I11" i="2"/>
  <c r="H11" i="2"/>
  <c r="G11" i="2"/>
  <c r="F11" i="2"/>
  <c r="E11" i="2"/>
  <c r="P10" i="2"/>
  <c r="O10" i="2"/>
  <c r="N10" i="2"/>
  <c r="M10" i="2"/>
  <c r="L10" i="2"/>
  <c r="K10" i="2"/>
  <c r="J10" i="2"/>
  <c r="I10" i="2"/>
  <c r="H10" i="2"/>
  <c r="G10" i="2"/>
  <c r="F10" i="2"/>
  <c r="E10" i="2"/>
  <c r="P7" i="2"/>
  <c r="P24" i="2" s="1"/>
  <c r="E18" i="3" s="1"/>
  <c r="O7" i="2"/>
  <c r="O24" i="2" s="1"/>
  <c r="E17" i="3" s="1"/>
  <c r="N7" i="2"/>
  <c r="N24" i="2" s="1"/>
  <c r="E16" i="3" s="1"/>
  <c r="M7" i="2"/>
  <c r="L7" i="2"/>
  <c r="L24" i="2" s="1"/>
  <c r="E14" i="3" s="1"/>
  <c r="K7" i="2"/>
  <c r="K24" i="2" s="1"/>
  <c r="E13" i="3" s="1"/>
  <c r="J7" i="2"/>
  <c r="J24" i="2" s="1"/>
  <c r="E12" i="3" s="1"/>
  <c r="I7" i="2"/>
  <c r="H7" i="2"/>
  <c r="G7" i="2"/>
  <c r="F7" i="2"/>
  <c r="P6" i="2"/>
  <c r="P8" i="2" s="1"/>
  <c r="P9" i="2" s="1"/>
  <c r="O6" i="2"/>
  <c r="O8" i="2" s="1"/>
  <c r="O9" i="2" s="1"/>
  <c r="N6" i="2"/>
  <c r="C16" i="3" s="1"/>
  <c r="M6" i="2"/>
  <c r="M8" i="2" s="1"/>
  <c r="M9" i="2" s="1"/>
  <c r="L6" i="2"/>
  <c r="C14" i="3" s="1"/>
  <c r="K6" i="2"/>
  <c r="K8" i="2" s="1"/>
  <c r="K9" i="2" s="1"/>
  <c r="J6" i="2"/>
  <c r="C12" i="3" s="1"/>
  <c r="I6" i="2"/>
  <c r="I8" i="2" s="1"/>
  <c r="I9" i="2" s="1"/>
  <c r="H6" i="2"/>
  <c r="H8" i="2" s="1"/>
  <c r="H9" i="2" s="1"/>
  <c r="G6" i="2"/>
  <c r="G8" i="2" s="1"/>
  <c r="G9" i="2" s="1"/>
  <c r="F6" i="2"/>
  <c r="C8" i="3" s="1"/>
  <c r="E6" i="2"/>
  <c r="Q5" i="2"/>
  <c r="Q4" i="2"/>
  <c r="D33" i="1"/>
  <c r="D32" i="1"/>
  <c r="D31" i="1"/>
  <c r="D30" i="1"/>
  <c r="D29" i="1"/>
  <c r="D28" i="1"/>
  <c r="D27" i="1"/>
  <c r="D26" i="1"/>
  <c r="D25" i="1"/>
  <c r="D24" i="1"/>
  <c r="D23" i="1"/>
  <c r="D22" i="1"/>
  <c r="Q20" i="5" l="1"/>
  <c r="F24" i="2"/>
  <c r="E8" i="3" s="1"/>
  <c r="N18" i="2"/>
  <c r="N19" i="2" s="1"/>
  <c r="N23" i="2" s="1"/>
  <c r="G24" i="2"/>
  <c r="E9" i="3" s="1"/>
  <c r="F18" i="2"/>
  <c r="F19" i="2" s="1"/>
  <c r="Q6" i="2"/>
  <c r="J8" i="2"/>
  <c r="J9" i="2" s="1"/>
  <c r="H24" i="2"/>
  <c r="E10" i="3" s="1"/>
  <c r="I24" i="2"/>
  <c r="E11" i="3" s="1"/>
  <c r="P18" i="2"/>
  <c r="P19" i="2" s="1"/>
  <c r="P23" i="2" s="1"/>
  <c r="G18" i="2"/>
  <c r="G19" i="2" s="1"/>
  <c r="G23" i="2" s="1"/>
  <c r="O18" i="2"/>
  <c r="O19" i="2" s="1"/>
  <c r="O23" i="2" s="1"/>
  <c r="I18" i="2"/>
  <c r="I19" i="2" s="1"/>
  <c r="I23" i="2" s="1"/>
  <c r="H23" i="2"/>
  <c r="Q13" i="4"/>
  <c r="C42" i="4" s="1"/>
  <c r="J18" i="2"/>
  <c r="J19" i="2" s="1"/>
  <c r="J23" i="2" s="1"/>
  <c r="Q26" i="2"/>
  <c r="E7" i="3"/>
  <c r="K18" i="2"/>
  <c r="K19" i="2" s="1"/>
  <c r="C13" i="3"/>
  <c r="L18" i="2"/>
  <c r="L19" i="2" s="1"/>
  <c r="L23" i="2" s="1"/>
  <c r="K23" i="2"/>
  <c r="E18" i="2"/>
  <c r="M18" i="2"/>
  <c r="M19" i="2" s="1"/>
  <c r="M23" i="2" s="1"/>
  <c r="Q8" i="5"/>
  <c r="C10" i="3"/>
  <c r="C18" i="3"/>
  <c r="C26" i="3"/>
  <c r="L8" i="2"/>
  <c r="L9" i="2" s="1"/>
  <c r="C7" i="3"/>
  <c r="C15" i="3"/>
  <c r="E8" i="2"/>
  <c r="F8" i="2"/>
  <c r="F9" i="2" s="1"/>
  <c r="N8" i="2"/>
  <c r="N9" i="2" s="1"/>
  <c r="C9" i="3"/>
  <c r="C17" i="3"/>
  <c r="C11" i="3"/>
  <c r="Q24" i="2" l="1"/>
  <c r="C25" i="3" s="1"/>
  <c r="D11" i="3"/>
  <c r="I25" i="2"/>
  <c r="O25" i="2"/>
  <c r="D17" i="3"/>
  <c r="M25" i="2"/>
  <c r="D15" i="3"/>
  <c r="G25" i="2"/>
  <c r="D9" i="3"/>
  <c r="F25" i="2"/>
  <c r="D8" i="3"/>
  <c r="D18" i="3"/>
  <c r="P25" i="2"/>
  <c r="D10" i="3"/>
  <c r="H25" i="2"/>
  <c r="K25" i="2"/>
  <c r="D13" i="3"/>
  <c r="D12" i="3"/>
  <c r="J25" i="2"/>
  <c r="D14" i="3"/>
  <c r="L25" i="2"/>
  <c r="E19" i="2"/>
  <c r="Q18" i="2"/>
  <c r="N25" i="2"/>
  <c r="D16" i="3"/>
  <c r="Q8" i="2"/>
  <c r="E9" i="2"/>
  <c r="Q9" i="2" s="1"/>
  <c r="F27" i="4" l="1"/>
  <c r="F37" i="4" s="1"/>
  <c r="F27" i="2"/>
  <c r="Q19" i="2"/>
  <c r="E23" i="2"/>
  <c r="N10" i="5"/>
  <c r="N27" i="4"/>
  <c r="F16" i="3"/>
  <c r="N27" i="2"/>
  <c r="N28" i="2"/>
  <c r="N30" i="2" s="1"/>
  <c r="K27" i="2"/>
  <c r="K10" i="5"/>
  <c r="K27" i="4"/>
  <c r="F13" i="3"/>
  <c r="K28" i="2"/>
  <c r="K30" i="2" s="1"/>
  <c r="G27" i="4"/>
  <c r="F9" i="3"/>
  <c r="G27" i="2"/>
  <c r="G10" i="5"/>
  <c r="G28" i="2"/>
  <c r="G30" i="2" s="1"/>
  <c r="F10" i="3"/>
  <c r="H27" i="4"/>
  <c r="H27" i="2"/>
  <c r="H10" i="5"/>
  <c r="H28" i="2"/>
  <c r="H30" i="2" s="1"/>
  <c r="M27" i="2"/>
  <c r="M10" i="5"/>
  <c r="M27" i="4"/>
  <c r="F15" i="3"/>
  <c r="M28" i="2"/>
  <c r="M30" i="2" s="1"/>
  <c r="L27" i="2"/>
  <c r="L10" i="5"/>
  <c r="L27" i="4"/>
  <c r="F14" i="3"/>
  <c r="L28" i="2"/>
  <c r="L30" i="2" s="1"/>
  <c r="P27" i="4"/>
  <c r="F18" i="3"/>
  <c r="P27" i="2"/>
  <c r="P10" i="5"/>
  <c r="P28" i="2"/>
  <c r="P30" i="2" s="1"/>
  <c r="O27" i="4"/>
  <c r="F17" i="3"/>
  <c r="O27" i="2"/>
  <c r="O10" i="5"/>
  <c r="O28" i="2"/>
  <c r="O30" i="2" s="1"/>
  <c r="F12" i="3"/>
  <c r="J27" i="2"/>
  <c r="J10" i="5"/>
  <c r="J27" i="4"/>
  <c r="J28" i="2"/>
  <c r="J30" i="2" s="1"/>
  <c r="I27" i="2"/>
  <c r="I10" i="5"/>
  <c r="I27" i="4"/>
  <c r="F11" i="3"/>
  <c r="I28" i="2"/>
  <c r="I30" i="2" s="1"/>
  <c r="F10" i="5"/>
  <c r="F8" i="3"/>
  <c r="F28" i="2"/>
  <c r="F30" i="2" s="1"/>
  <c r="L37" i="4" l="1"/>
  <c r="C58" i="4"/>
  <c r="I9" i="5"/>
  <c r="B11" i="3"/>
  <c r="I21" i="4"/>
  <c r="I22" i="4" s="1"/>
  <c r="K9" i="5"/>
  <c r="B13" i="3"/>
  <c r="K21" i="4"/>
  <c r="K22" i="4" s="1"/>
  <c r="M21" i="4"/>
  <c r="M22" i="4" s="1"/>
  <c r="M9" i="5"/>
  <c r="B15" i="3"/>
  <c r="C56" i="4"/>
  <c r="J37" i="4"/>
  <c r="L21" i="4"/>
  <c r="L22" i="4" s="1"/>
  <c r="B14" i="3"/>
  <c r="L9" i="5"/>
  <c r="C60" i="4"/>
  <c r="N37" i="4"/>
  <c r="F21" i="4"/>
  <c r="F22" i="4" s="1"/>
  <c r="F28" i="4" s="1"/>
  <c r="B8" i="3"/>
  <c r="F9" i="5"/>
  <c r="O37" i="4"/>
  <c r="C61" i="4"/>
  <c r="G37" i="4"/>
  <c r="C53" i="4"/>
  <c r="J9" i="5"/>
  <c r="J21" i="4"/>
  <c r="J22" i="4" s="1"/>
  <c r="B12" i="3"/>
  <c r="H9" i="5"/>
  <c r="H21" i="4"/>
  <c r="H22" i="4" s="1"/>
  <c r="B10" i="3"/>
  <c r="P9" i="5"/>
  <c r="P21" i="4"/>
  <c r="P22" i="4" s="1"/>
  <c r="B18" i="3"/>
  <c r="C54" i="4"/>
  <c r="H37" i="4"/>
  <c r="O9" i="5"/>
  <c r="B17" i="3"/>
  <c r="O21" i="4"/>
  <c r="O22" i="4" s="1"/>
  <c r="C52" i="4"/>
  <c r="N21" i="4"/>
  <c r="N22" i="4" s="1"/>
  <c r="B16" i="3"/>
  <c r="N9" i="5"/>
  <c r="C55" i="4"/>
  <c r="I37" i="4"/>
  <c r="K37" i="4"/>
  <c r="C57" i="4"/>
  <c r="Q23" i="2"/>
  <c r="C24" i="3" s="1"/>
  <c r="E25" i="2"/>
  <c r="D7" i="3"/>
  <c r="G21" i="4"/>
  <c r="G22" i="4" s="1"/>
  <c r="G9" i="5"/>
  <c r="B9" i="3"/>
  <c r="P37" i="4"/>
  <c r="C62" i="4"/>
  <c r="C59" i="4"/>
  <c r="M37" i="4"/>
  <c r="K15" i="5" l="1"/>
  <c r="B32" i="5"/>
  <c r="B33" i="5"/>
  <c r="L15" i="5"/>
  <c r="O28" i="4"/>
  <c r="O36" i="4"/>
  <c r="O23" i="4"/>
  <c r="L36" i="4"/>
  <c r="L28" i="4"/>
  <c r="L23" i="4"/>
  <c r="O15" i="5"/>
  <c r="B36" i="5"/>
  <c r="B35" i="5"/>
  <c r="N15" i="5"/>
  <c r="K36" i="4"/>
  <c r="K28" i="4"/>
  <c r="K23" i="4"/>
  <c r="G15" i="5"/>
  <c r="B28" i="5"/>
  <c r="B27" i="5"/>
  <c r="F15" i="5"/>
  <c r="G28" i="4"/>
  <c r="G36" i="4"/>
  <c r="G23" i="4"/>
  <c r="J28" i="4"/>
  <c r="J36" i="4"/>
  <c r="J23" i="4"/>
  <c r="F36" i="4"/>
  <c r="F23" i="4"/>
  <c r="B30" i="5"/>
  <c r="I15" i="5"/>
  <c r="P15" i="5"/>
  <c r="B37" i="5"/>
  <c r="H28" i="4"/>
  <c r="H36" i="4"/>
  <c r="H23" i="4"/>
  <c r="I28" i="4"/>
  <c r="I36" i="4"/>
  <c r="I23" i="4"/>
  <c r="E27" i="2"/>
  <c r="E10" i="5"/>
  <c r="Q10" i="5" s="1"/>
  <c r="E27" i="4"/>
  <c r="F7" i="3"/>
  <c r="Q25" i="2"/>
  <c r="E28" i="2"/>
  <c r="N28" i="4"/>
  <c r="N36" i="4"/>
  <c r="N23" i="4"/>
  <c r="B31" i="5"/>
  <c r="J15" i="5"/>
  <c r="B34" i="5"/>
  <c r="M15" i="5"/>
  <c r="H15" i="5"/>
  <c r="B29" i="5"/>
  <c r="P28" i="4"/>
  <c r="P36" i="4"/>
  <c r="P23" i="4"/>
  <c r="M28" i="4"/>
  <c r="M36" i="4"/>
  <c r="M23" i="4"/>
  <c r="Q28" i="2" l="1"/>
  <c r="Q30" i="2" s="1"/>
  <c r="E30" i="2"/>
  <c r="B55" i="4"/>
  <c r="I29" i="4"/>
  <c r="I30" i="4" s="1"/>
  <c r="N21" i="5"/>
  <c r="N16" i="5"/>
  <c r="N22" i="5" s="1"/>
  <c r="C35" i="5"/>
  <c r="B62" i="4"/>
  <c r="P29" i="4"/>
  <c r="P30" i="4" s="1"/>
  <c r="B60" i="4"/>
  <c r="N29" i="4"/>
  <c r="N30" i="4" s="1"/>
  <c r="H21" i="5"/>
  <c r="C29" i="5"/>
  <c r="H16" i="5"/>
  <c r="H22" i="5" s="1"/>
  <c r="B53" i="4"/>
  <c r="G29" i="4"/>
  <c r="G30" i="4" s="1"/>
  <c r="F21" i="5"/>
  <c r="F16" i="5"/>
  <c r="F22" i="5" s="1"/>
  <c r="C27" i="5"/>
  <c r="B52" i="4"/>
  <c r="F29" i="4"/>
  <c r="F30" i="4" s="1"/>
  <c r="C33" i="5"/>
  <c r="L21" i="5"/>
  <c r="L16" i="5"/>
  <c r="L22" i="5" s="1"/>
  <c r="C23" i="3"/>
  <c r="Q27" i="2"/>
  <c r="J16" i="5"/>
  <c r="J22" i="5" s="1"/>
  <c r="C31" i="5"/>
  <c r="J21" i="5"/>
  <c r="B54" i="4"/>
  <c r="H29" i="4"/>
  <c r="H30" i="4" s="1"/>
  <c r="O21" i="5"/>
  <c r="O16" i="5"/>
  <c r="O22" i="5" s="1"/>
  <c r="C36" i="5"/>
  <c r="I21" i="5"/>
  <c r="C30" i="5"/>
  <c r="I16" i="5"/>
  <c r="I22" i="5" s="1"/>
  <c r="C34" i="5"/>
  <c r="M21" i="5"/>
  <c r="M16" i="5"/>
  <c r="M22" i="5" s="1"/>
  <c r="B61" i="4"/>
  <c r="O29" i="4"/>
  <c r="O30" i="4" s="1"/>
  <c r="C51" i="4"/>
  <c r="E37" i="4"/>
  <c r="Q37" i="4" s="1"/>
  <c r="Q27" i="4"/>
  <c r="G21" i="5"/>
  <c r="G16" i="5"/>
  <c r="G22" i="5" s="1"/>
  <c r="C28" i="5"/>
  <c r="K29" i="4"/>
  <c r="K30" i="4" s="1"/>
  <c r="B57" i="4"/>
  <c r="M29" i="4"/>
  <c r="M30" i="4" s="1"/>
  <c r="B59" i="4"/>
  <c r="E21" i="4"/>
  <c r="E22" i="4" s="1"/>
  <c r="E23" i="4" s="1"/>
  <c r="E9" i="5"/>
  <c r="B7" i="3"/>
  <c r="P21" i="5"/>
  <c r="C37" i="5"/>
  <c r="P16" i="5"/>
  <c r="P22" i="5" s="1"/>
  <c r="B56" i="4"/>
  <c r="J29" i="4"/>
  <c r="J30" i="4" s="1"/>
  <c r="L29" i="4"/>
  <c r="L30" i="4" s="1"/>
  <c r="B58" i="4"/>
  <c r="K16" i="5"/>
  <c r="K22" i="5" s="1"/>
  <c r="C32" i="5"/>
  <c r="K21" i="5"/>
  <c r="B8" i="6" l="1"/>
  <c r="Q9" i="5"/>
  <c r="C22" i="3"/>
  <c r="Q21" i="4"/>
  <c r="B26" i="5"/>
  <c r="E15" i="5"/>
  <c r="Q22" i="4"/>
  <c r="E28" i="4"/>
  <c r="E36" i="4"/>
  <c r="Q23" i="4"/>
  <c r="C44" i="4" s="1"/>
  <c r="C26" i="5" l="1"/>
  <c r="E21" i="5"/>
  <c r="E16" i="5"/>
  <c r="Q36" i="4"/>
  <c r="E38" i="4"/>
  <c r="F35" i="4" s="1"/>
  <c r="F38" i="4" s="1"/>
  <c r="G35" i="4" s="1"/>
  <c r="G38" i="4" s="1"/>
  <c r="H35" i="4" s="1"/>
  <c r="H38" i="4" s="1"/>
  <c r="I35" i="4" s="1"/>
  <c r="I38" i="4" s="1"/>
  <c r="J35" i="4" s="1"/>
  <c r="J38" i="4" s="1"/>
  <c r="K35" i="4" s="1"/>
  <c r="K38" i="4" s="1"/>
  <c r="L35" i="4" s="1"/>
  <c r="L38" i="4" s="1"/>
  <c r="M35" i="4" s="1"/>
  <c r="M38" i="4" s="1"/>
  <c r="N35" i="4" s="1"/>
  <c r="N38" i="4" s="1"/>
  <c r="O35" i="4" s="1"/>
  <c r="O38" i="4" s="1"/>
  <c r="P35" i="4" s="1"/>
  <c r="P38" i="4" s="1"/>
  <c r="C47" i="4" s="1"/>
  <c r="E29" i="4"/>
  <c r="Q28" i="4"/>
  <c r="B51" i="4"/>
  <c r="C43" i="4"/>
  <c r="C45" i="4"/>
  <c r="B32" i="6"/>
  <c r="C32" i="6" s="1"/>
  <c r="B30" i="6"/>
  <c r="C30" i="6" s="1"/>
  <c r="B28" i="6"/>
  <c r="C28" i="6" s="1"/>
  <c r="B22" i="6"/>
  <c r="C22" i="6" s="1"/>
  <c r="B20" i="6"/>
  <c r="C20" i="6" s="1"/>
  <c r="B18" i="6"/>
  <c r="C18" i="6" s="1"/>
  <c r="B16" i="6"/>
  <c r="C16" i="6" s="1"/>
  <c r="B29" i="6"/>
  <c r="C29" i="6" s="1"/>
  <c r="B31" i="6"/>
  <c r="C31" i="6" s="1"/>
  <c r="B27" i="6"/>
  <c r="C27" i="6" s="1"/>
  <c r="B21" i="6"/>
  <c r="C21" i="6" s="1"/>
  <c r="B19" i="6"/>
  <c r="C19" i="6" s="1"/>
  <c r="B17" i="6"/>
  <c r="C17" i="6" s="1"/>
  <c r="B15" i="6"/>
  <c r="C15" i="6" s="1"/>
  <c r="D15" i="6" l="1"/>
  <c r="D27" i="6"/>
  <c r="D18" i="6"/>
  <c r="D20" i="6"/>
  <c r="D22" i="6"/>
  <c r="D21" i="6"/>
  <c r="D31" i="6"/>
  <c r="E22" i="5"/>
  <c r="Q16" i="5"/>
  <c r="Q22" i="5" s="1"/>
  <c r="Q15" i="5"/>
  <c r="Q21" i="5" s="1"/>
  <c r="D17" i="6"/>
  <c r="D19" i="6"/>
  <c r="E30" i="4"/>
  <c r="Q29" i="4"/>
  <c r="E31" i="4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D28" i="6"/>
  <c r="D32" i="6"/>
  <c r="D30" i="6"/>
  <c r="D29" i="6"/>
  <c r="D16" i="6"/>
  <c r="Q30" i="4" l="1"/>
  <c r="C4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tc={158985F0-33CF-4447-A864-86E226220DB6}</author>
    <author>tc={447CDA9E-8737-4D64-9E6A-56C140CF1978}</author>
    <author>tc={3FC00A1C-E5A1-4B95-BDF9-1647685A46FA}</author>
    <author>tc={4205EFCE-51F3-4A77-B878-B5E7C0710D5A}</author>
  </authors>
  <commentList>
    <comment ref="D11" authorId="0" shapeId="0" xr:uid="{158985F0-33CF-4447-A864-86E226220D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ExFactory units don’t match chart. </t>
      </text>
    </comment>
    <comment ref="E21" authorId="1" shapeId="0" xr:uid="{447CDA9E-8737-4D64-9E6A-56C140CF19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should probably create an estimate on the Model tab to forecast the GTN% on stocking units shipped. </t>
      </text>
    </comment>
    <comment ref="D31" authorId="2" shapeId="0" xr:uid="{3FC00A1C-E5A1-4B95-BDF9-1647685A46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Don’t think we will need a cumulative variance here since we are just trying to show the sensitivity between exFactor and true script demand over time. </t>
      </text>
    </comment>
    <comment ref="F37" authorId="3" shapeId="0" xr:uid="{4205EFCE-51F3-4A77-B878-B5E7C0710D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we think we will have 30day PM terms, we should shift these a month to make sure we are matching payments with the accrual release. </t>
      </text>
    </comment>
  </commentList>
</comments>
</file>

<file path=xl/sharedStrings.xml><?xml version="1.0" encoding="utf-8"?>
<sst xmlns="http://schemas.openxmlformats.org/spreadsheetml/2006/main" count="331" uniqueCount="165">
  <si>
    <t>MODEL ASSUMPTIONS</t>
  </si>
  <si>
    <t>Edit BLUE cells to change assumptions → Model &amp; Charts update automatically</t>
  </si>
  <si>
    <t>CORE PRICING &amp; PROGRAM RULES</t>
  </si>
  <si>
    <t>WAC Price</t>
  </si>
  <si>
    <t>Static for 12 months</t>
  </si>
  <si>
    <t>Pay No More Than</t>
  </si>
  <si>
    <t>Patient max OOP</t>
  </si>
  <si>
    <t>Redemption Rate</t>
  </si>
  <si>
    <t>Program redemption</t>
  </si>
  <si>
    <t>Medical Exception Pullthrough</t>
  </si>
  <si>
    <t>Exception approval rate</t>
  </si>
  <si>
    <t>COST SHARING STRUCTURE</t>
  </si>
  <si>
    <t>Copay Mix %</t>
  </si>
  <si>
    <t>Coinsurance Mix %</t>
  </si>
  <si>
    <t>Copay Amount (Tier 3)</t>
  </si>
  <si>
    <t>Coinsurance Rate (Tier 3)</t>
  </si>
  <si>
    <t>Not Covered Buydown</t>
  </si>
  <si>
    <t>COVERAGE UPTAKE FORECAST (% of Commercial Lives Covered)</t>
  </si>
  <si>
    <t>Higher coverage = Lower GTN (less not-covered buydown)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</si>
  <si>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</si>
  <si>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</si>
  <si>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</si>
  <si>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</si>
  <si>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</si>
  <si>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</si>
  <si>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</si>
  <si>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</si>
  <si>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</si>
  <si>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</si>
  <si>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</si>
  <si>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</si>
  <si>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DEDUCTIBLE MET (% by Month)</t>
  </si>
  <si>
    <t>PAYER MIX (Commercial %)</t>
  </si>
  <si>
    <t>DETAILED AFFORDABILITY MODEL</t>
  </si>
  <si>
    <t>ANNUAL</t>
  </si>
  <si>
    <t>Notes</t>
  </si>
  <si>
    <t>TRx Forecast (Covered Commercial)</t>
  </si>
  <si>
    <t>TRx Forecast (Not Covered Commercial)</t>
  </si>
  <si>
    <t>Coverage Uptake %</t>
  </si>
  <si>
    <t>Payer Mix (Commercial)</t>
  </si>
  <si>
    <t>% Covered Claims</t>
  </si>
  <si>
    <t>% Not Covered Claims</t>
  </si>
  <si>
    <t>% Met Deductible</t>
  </si>
  <si>
    <t>% Copay Structure</t>
  </si>
  <si>
    <t>Copay Amount</t>
  </si>
  <si>
    <t>Copay Buydown</t>
  </si>
  <si>
    <t>% Coinsurance Structure</t>
  </si>
  <si>
    <t>Coinsurance Amount</t>
  </si>
  <si>
    <t>Coinsurance Buydown</t>
  </si>
  <si>
    <t>Not Met Deductible Buydown</t>
  </si>
  <si>
    <t>Avg Covered Discount %</t>
  </si>
  <si>
    <t>Avg Covered Benefit ($)</t>
  </si>
  <si>
    <t>Not Covered Benefit ($)</t>
  </si>
  <si>
    <t>Covered Program Costs</t>
  </si>
  <si>
    <t>Not Covered Program Costs</t>
  </si>
  <si>
    <t>TOTAL PROGRAM COSTS</t>
  </si>
  <si>
    <t>Gross Demand Sales</t>
  </si>
  <si>
    <t>GTN % (Copay/Denial)</t>
  </si>
  <si>
    <t>Net Sales (After GTN)</t>
  </si>
  <si>
    <t>Month</t>
  </si>
  <si>
    <t>GTN %</t>
  </si>
  <si>
    <t>Coverage %</t>
  </si>
  <si>
    <t>Covered Cost</t>
  </si>
  <si>
    <t>Not Covered Cost</t>
  </si>
  <si>
    <t>Total Cost</t>
  </si>
  <si>
    <t>KEY METRICS</t>
  </si>
  <si>
    <t>Annual GTN %</t>
  </si>
  <si>
    <t>Total Program Costs</t>
  </si>
  <si>
    <t>Covered Costs</t>
  </si>
  <si>
    <t>Not Covered Costs</t>
  </si>
  <si>
    <t>Avg Coverage</t>
  </si>
  <si>
    <t>GTN ACCRUALS - INCOME STATEMENT METHOD</t>
  </si>
  <si>
    <t>2026</t>
  </si>
  <si>
    <t>ExFactory Units</t>
  </si>
  <si>
    <t>ExFactory Gross Revenue</t>
  </si>
  <si>
    <t>Script Demand (Rx)</t>
  </si>
  <si>
    <t>MOH Target</t>
  </si>
  <si>
    <t>Channel Inventory (EOM)</t>
  </si>
  <si>
    <t>ExFactory vs Rx Demand Ratio</t>
  </si>
  <si>
    <t>GTN ACCRUAL (Income Statement Method)</t>
  </si>
  <si>
    <t>Rx Demand GTN % (from Model)</t>
  </si>
  <si>
    <t>GTN Accrual (ExFactory × GTN%)</t>
  </si>
  <si>
    <t>Net Revenue (ExFactory - Accrual)</t>
  </si>
  <si>
    <t>ACCRUAL vs ACTUAL COMPARISON</t>
  </si>
  <si>
    <t>Actual GTN Costs (Rx-based)</t>
  </si>
  <si>
    <t>Accrued GTN (ExFactory-based)</t>
  </si>
  <si>
    <t>Variance (Accrued - Actual)</t>
  </si>
  <si>
    <t>Variance %</t>
  </si>
  <si>
    <t>Cumulative Variance</t>
  </si>
  <si>
    <t>ACCRUAL RESERVE BALANCE (Balance Sheet)</t>
  </si>
  <si>
    <t>Beginning Balance</t>
  </si>
  <si>
    <t>+ Accrual (I/S Charge)</t>
  </si>
  <si>
    <t>- Actual Payments</t>
  </si>
  <si>
    <t>Ending Balance</t>
  </si>
  <si>
    <t>KEY METRICS FOR FINANCE</t>
  </si>
  <si>
    <t>Annual ExFactory Revenue</t>
  </si>
  <si>
    <t>Annual GTN Accrual</t>
  </si>
  <si>
    <t>Annual Net Revenue</t>
  </si>
  <si>
    <t>Effective GTN Rate</t>
  </si>
  <si>
    <t>Accrual vs Actual Variance</t>
  </si>
  <si>
    <t>Year-End Reserve Balance</t>
  </si>
  <si>
    <t>Accrued</t>
  </si>
  <si>
    <t>Actual</t>
  </si>
  <si>
    <t>HOW TO USE FOR ACCRUALS</t>
  </si>
  <si>
    <t>1. ExFactory Units (row 11): Update monthly with actual shipments to wholesalers</t>
  </si>
  <si>
    <t>2. GTN Accrual (row 22): Book this to I/S as contra-revenue each month</t>
  </si>
  <si>
    <t>3. Actual GTN Costs (row 27): From Rx demand model - reconcile as claims come in</t>
  </si>
  <si>
    <t>4. Variance (row 29): Positive = over-accrued (favorable), Negative = under-accrued</t>
  </si>
  <si>
    <t>5. Reserve Balance (row 38): Should be positive; tracks timing difference</t>
  </si>
  <si>
    <t>WHY VARIANCE EXISTS:</t>
  </si>
  <si>
    <t>• ExFactory ≠ Rx Demand due to channel inventory buildup/drawdown</t>
  </si>
  <si>
    <t>• GTN % applies to Rx at point of dispensing, not ExFactory shipment</t>
  </si>
  <si>
    <t>• Early months: ExFactory &gt; Rx (building inventory) → Over-accrual</t>
  </si>
  <si>
    <t>• Later months: May reverse as inventory normalizes</t>
  </si>
  <si>
    <t>SCENARIO ANALYSIS - MONTHLY VIEW</t>
  </si>
  <si>
    <t>For Finance Accruals: Edit PURPLE cells to model alternative coverage scenarios by month</t>
  </si>
  <si>
    <t>BASELINE (Current Model)</t>
  </si>
  <si>
    <t>Coverage Uptake</t>
  </si>
  <si>
    <t>Program Costs</t>
  </si>
  <si>
    <t>SCENARIO (Edit Coverage Below)</t>
  </si>
  <si>
    <t>Scenario Coverage</t>
  </si>
  <si>
    <t>Scenario GTN %</t>
  </si>
  <si>
    <t>Scenario Costs</t>
  </si>
  <si>
    <t>DELTA (Scenario - Baseline)</t>
  </si>
  <si>
    <t>Δ Coverage</t>
  </si>
  <si>
    <t>Δ GTN %</t>
  </si>
  <si>
    <t>Δ Costs ($)</t>
  </si>
  <si>
    <t>Baseline GTN</t>
  </si>
  <si>
    <t>Scenario GTN</t>
  </si>
  <si>
    <t>HOW TO USE</t>
  </si>
  <si>
    <t>1. Edit PURPLE cells (row 14) to set scenario coverage by month</t>
  </si>
  <si>
    <t>2. Watch GTN % and Costs recalculate instantly</t>
  </si>
  <si>
    <t>3. DELTA section shows monthly variance for accruals</t>
  </si>
  <si>
    <t>4. Annual column shows full-year impact</t>
  </si>
  <si>
    <t>5. Negative Δ Costs = savings from higher coverage</t>
  </si>
  <si>
    <t>SENSITIVITY ANALYSIS</t>
  </si>
  <si>
    <t>CURRENT MODEL BASELINE</t>
  </si>
  <si>
    <t>Avg Coverage Uptake</t>
  </si>
  <si>
    <t>Medical Exception Rate</t>
  </si>
  <si>
    <t>COVERAGE UPTAKE IMPACT</t>
  </si>
  <si>
    <t>Est. GTN %</t>
  </si>
  <si>
    <t>Change</t>
  </si>
  <si>
    <t>$ Impact</t>
  </si>
  <si>
    <t>MEDICAL EXCEPTION IMPACT</t>
  </si>
  <si>
    <t>Exception %</t>
  </si>
  <si>
    <t>KEY INSIGHT</t>
  </si>
  <si>
    <t>Coverage has the HIGHEST impact. +10% coverage ≈ -15% GTN</t>
  </si>
  <si>
    <t xml:space="preserve">EXFACTORY DEMAND </t>
  </si>
  <si>
    <t>Buydown to $25 target</t>
  </si>
  <si>
    <t xml:space="preserve">Original Base Model </t>
  </si>
  <si>
    <t>Demand Scenarios</t>
  </si>
  <si>
    <t xml:space="preserve">Demand </t>
  </si>
  <si>
    <t>Total Commercial</t>
  </si>
  <si>
    <t>Total</t>
  </si>
  <si>
    <t>BOD Demand (November 2025 Meeting)</t>
  </si>
  <si>
    <t xml:space="preserve">Total Script Demand </t>
  </si>
  <si>
    <t>Total Commercial (%)</t>
  </si>
  <si>
    <t>TRx Forecast (Covered Commercial %)</t>
  </si>
  <si>
    <t>Beg of month channel balance</t>
  </si>
  <si>
    <t>Total Monthly Script Demand (Forecast)</t>
  </si>
  <si>
    <t>End of month channel balance</t>
  </si>
  <si>
    <t>MOH Assumption</t>
  </si>
  <si>
    <t>Total Monthly exFact Demand (Forecast)</t>
  </si>
  <si>
    <t>Ex-Factory Demand Scenarios</t>
  </si>
  <si>
    <t>Beginning of Month Channel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</si>
</sst>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&quot;$&quot;#,##0"/>
    <numFmt numFmtId="165" formatCode="0.0%"/>
    <numFmt numFmtId="166" formatCode="&quot;$&quot;#,##0.00"/>
    <numFmt numFmtId="167" formatCode="#,##0.0"/>
    <numFmt numFmtId="168" formatCode="\+0.0%;\-0.0%"/>
    <numFmt numFmtId="169" formatCode="\+0.00%;\-0.00%"/>
    <numFmt numFmtId="170" formatCode="&quot;$&quot;\+#,##0;[Red]&quot;$&quot;\-#,##0"/>
    <numFmt numFmtId="171" formatCode="0.00\x"/>
    <numFmt numFmtId="172" formatCode="_(* #,##0_);_(* \(#,##0\);_(* &quot;-&quot;??_);_(@_)"/>
    <numFmt numFmtId="173" formatCode="[$-409]mmm\-yy;@"/>
  </numFmts>
  <fonts count="27" x14ac:knownFonts="1">
    <font>
      <sz val="11"/>
      <color theme="1"/>
      <name val="Calibri"/>
      <family val="2"/>
      <scheme val="minor"/>
    </font>
    <font>
      <b/>
      <sz val="18"/>
      <color rgb="FF172852"/>
      <name val="Calibri"/>
    </font>
    <font>
      <i/>
      <sz val="11"/>
      <color rgb="FFE31D93"/>
      <name val="Calibri"/>
    </font>
    <font>
      <b/>
      <sz val="12"/>
      <color rgb="FFFFFFFF"/>
      <name val="Calibri"/>
    </font>
    <font>
      <b/>
      <sz val="11"/>
      <color rgb="FF172852"/>
      <name val="Calibri"/>
    </font>
    <font>
      <b/>
      <sz val="11"/>
      <color rgb="FF0D7AB5"/>
      <name val="Calibri"/>
    </font>
    <font>
      <i/>
      <sz val="9"/>
      <color rgb="FF54575E"/>
      <name val="Calibri"/>
    </font>
    <font>
      <sz val="10"/>
      <name val="Calibri"/>
    </font>
    <font>
      <sz val="9"/>
      <color rgb="FF71B4BE"/>
      <name val="Calibri"/>
    </font>
    <font>
      <b/>
      <sz val="11"/>
      <color rgb="FFFFFFFF"/>
      <name val="Calibri"/>
    </font>
    <font>
      <b/>
      <sz val="14"/>
      <color rgb="FF172852"/>
      <name val="Calibri"/>
    </font>
    <font>
      <b/>
      <sz val="9"/>
      <color rgb="FFE31D93"/>
      <name val="Calibri"/>
    </font>
    <font>
      <b/>
      <sz val="10"/>
      <color rgb="FFE31D93"/>
      <name val="Calibri"/>
    </font>
    <font>
      <b/>
      <sz val="10"/>
      <name val="Calibri"/>
    </font>
    <font>
      <b/>
      <sz val="14"/>
      <color rgb="FFE31D93"/>
      <name val="Calibri"/>
    </font>
    <font>
      <b/>
      <sz val="12"/>
      <name val="Calibri"/>
    </font>
    <font>
      <b/>
      <sz val="9"/>
      <name val="Calibri"/>
    </font>
    <font>
      <b/>
      <sz val="12"/>
      <color rgb="FFE31D93"/>
      <name val="Calibri"/>
    </font>
    <font>
      <b/>
      <sz val="11"/>
      <name val="Calibri"/>
    </font>
    <font>
      <b/>
      <sz val="12"/>
      <color rgb="FF0D7AB5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72852"/>
      <name val="Calibri"/>
      <family val="2"/>
    </font>
    <font>
      <b/>
      <sz val="12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172852"/>
        <bgColor rgb="FF172852"/>
      </patternFill>
    </fill>
    <fill>
      <patternFill patternType="solid">
        <fgColor rgb="FFDCEEF4"/>
        <bgColor rgb="FFDCEEF4"/>
      </patternFill>
    </fill>
    <fill>
      <patternFill patternType="solid">
        <fgColor rgb="FFE31D93"/>
        <bgColor rgb="FFE31D93"/>
      </patternFill>
    </fill>
    <fill>
      <patternFill patternType="solid">
        <fgColor rgb="FF71B4BE"/>
        <bgColor rgb="FF71B4BE"/>
      </patternFill>
    </fill>
    <fill>
      <patternFill patternType="solid">
        <fgColor rgb="FFE0E0E0"/>
        <bgColor rgb="FFE0E0E0"/>
      </patternFill>
    </fill>
    <fill>
      <patternFill patternType="solid">
        <fgColor rgb="FF00B2E3"/>
        <bgColor rgb="FF00B2E3"/>
      </patternFill>
    </fill>
    <fill>
      <patternFill patternType="solid">
        <fgColor rgb="FFCCA1DD"/>
        <bgColor rgb="FFCCA1DD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medium">
        <color rgb="FF172852"/>
      </left>
      <right style="medium">
        <color rgb="FF172852"/>
      </right>
      <top style="medium">
        <color rgb="FF172852"/>
      </top>
      <bottom style="medium">
        <color rgb="FF172852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5">
    <xf numFmtId="0" fontId="0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5" fillId="11" borderId="0" applyNumberFormat="0" applyBorder="0" applyAlignment="0" applyProtection="0"/>
  </cellStyleXfs>
  <cellXfs count="87">
    <xf numFmtId="0" fontId="0" fillId="0" borderId="0" xfId="0"/>
    <xf numFmtId="0" fontId="3" fillId="2" borderId="0" xfId="0" applyFont="1" applyFill="1"/>
    <xf numFmtId="0" fontId="4" fillId="0" borderId="0" xfId="0" applyFont="1"/>
    <xf numFmtId="164" fontId="5" fillId="3" borderId="1" xfId="0" applyNumberFormat="1" applyFont="1" applyFill="1" applyBorder="1"/>
    <xf numFmtId="0" fontId="6" fillId="0" borderId="0" xfId="0" applyFont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0" fontId="3" fillId="4" borderId="0" xfId="0" applyFont="1" applyFill="1"/>
    <xf numFmtId="0" fontId="7" fillId="0" borderId="0" xfId="0" applyFont="1"/>
    <xf numFmtId="165" fontId="5" fillId="3" borderId="2" xfId="0" applyNumberFormat="1" applyFont="1" applyFill="1" applyBorder="1"/>
    <xf numFmtId="0" fontId="8" fillId="0" borderId="0" xfId="0" applyFont="1"/>
    <xf numFmtId="0" fontId="9" fillId="5" borderId="0" xfId="0" applyFont="1" applyFill="1"/>
    <xf numFmtId="0" fontId="10" fillId="0" borderId="0" xfId="0" applyFont="1"/>
    <xf numFmtId="0" fontId="3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7" fontId="0" fillId="6" borderId="0" xfId="0" applyNumberFormat="1" applyFill="1"/>
    <xf numFmtId="3" fontId="0" fillId="0" borderId="0" xfId="0" applyNumberFormat="1"/>
    <xf numFmtId="0" fontId="4" fillId="7" borderId="0" xfId="0" applyFont="1" applyFill="1"/>
    <xf numFmtId="165" fontId="0" fillId="7" borderId="0" xfId="0" applyNumberFormat="1" applyFill="1"/>
    <xf numFmtId="165" fontId="0" fillId="0" borderId="0" xfId="0" applyNumberFormat="1"/>
    <xf numFmtId="0" fontId="11" fillId="0" borderId="0" xfId="0" applyFont="1"/>
    <xf numFmtId="165" fontId="0" fillId="6" borderId="0" xfId="0" applyNumberFormat="1" applyFill="1"/>
    <xf numFmtId="164" fontId="0" fillId="0" borderId="0" xfId="0" applyNumberFormat="1"/>
    <xf numFmtId="10" fontId="0" fillId="0" borderId="0" xfId="0" applyNumberFormat="1"/>
    <xf numFmtId="0" fontId="4" fillId="5" borderId="0" xfId="0" applyFont="1" applyFill="1"/>
    <xf numFmtId="164" fontId="0" fillId="5" borderId="0" xfId="0" applyNumberFormat="1" applyFill="1"/>
    <xf numFmtId="164" fontId="3" fillId="2" borderId="0" xfId="0" applyNumberFormat="1" applyFont="1" applyFill="1"/>
    <xf numFmtId="10" fontId="9" fillId="4" borderId="0" xfId="0" applyNumberFormat="1" applyFont="1" applyFill="1"/>
    <xf numFmtId="0" fontId="12" fillId="0" borderId="0" xfId="0" applyFont="1"/>
    <xf numFmtId="0" fontId="13" fillId="6" borderId="0" xfId="0" applyFont="1" applyFill="1"/>
    <xf numFmtId="10" fontId="14" fillId="0" borderId="0" xfId="0" applyNumberFormat="1" applyFont="1"/>
    <xf numFmtId="0" fontId="3" fillId="4" borderId="0" xfId="0" applyFont="1" applyFill="1" applyAlignment="1">
      <alignment horizontal="center"/>
    </xf>
    <xf numFmtId="165" fontId="5" fillId="8" borderId="1" xfId="0" applyNumberFormat="1" applyFont="1" applyFill="1" applyBorder="1"/>
    <xf numFmtId="10" fontId="0" fillId="6" borderId="0" xfId="0" applyNumberFormat="1" applyFill="1"/>
    <xf numFmtId="164" fontId="0" fillId="6" borderId="0" xfId="0" applyNumberFormat="1" applyFill="1"/>
    <xf numFmtId="0" fontId="9" fillId="5" borderId="0" xfId="0" applyFont="1" applyFill="1" applyAlignment="1">
      <alignment horizontal="center"/>
    </xf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0" fontId="15" fillId="0" borderId="0" xfId="0" applyNumberFormat="1" applyFont="1"/>
    <xf numFmtId="0" fontId="16" fillId="6" borderId="0" xfId="0" applyFont="1" applyFill="1"/>
    <xf numFmtId="10" fontId="17" fillId="0" borderId="0" xfId="0" applyNumberFormat="1" applyFont="1"/>
    <xf numFmtId="9" fontId="0" fillId="3" borderId="0" xfId="0" applyNumberFormat="1" applyFill="1"/>
    <xf numFmtId="3" fontId="5" fillId="3" borderId="2" xfId="0" applyNumberFormat="1" applyFont="1" applyFill="1" applyBorder="1"/>
    <xf numFmtId="164" fontId="0" fillId="7" borderId="0" xfId="0" applyNumberFormat="1" applyFill="1"/>
    <xf numFmtId="164" fontId="18" fillId="7" borderId="0" xfId="0" applyNumberFormat="1" applyFont="1" applyFill="1"/>
    <xf numFmtId="3" fontId="0" fillId="6" borderId="0" xfId="0" applyNumberFormat="1" applyFill="1"/>
    <xf numFmtId="2" fontId="0" fillId="3" borderId="2" xfId="0" applyNumberFormat="1" applyFill="1" applyBorder="1"/>
    <xf numFmtId="171" fontId="0" fillId="0" borderId="0" xfId="0" applyNumberFormat="1"/>
    <xf numFmtId="0" fontId="4" fillId="4" borderId="0" xfId="0" applyFont="1" applyFill="1"/>
    <xf numFmtId="164" fontId="9" fillId="4" borderId="0" xfId="0" applyNumberFormat="1" applyFont="1" applyFill="1"/>
    <xf numFmtId="164" fontId="3" fillId="4" borderId="0" xfId="0" applyNumberFormat="1" applyFont="1" applyFill="1"/>
    <xf numFmtId="164" fontId="18" fillId="0" borderId="0" xfId="0" applyNumberFormat="1" applyFont="1"/>
    <xf numFmtId="170" fontId="18" fillId="0" borderId="0" xfId="0" applyNumberFormat="1" applyFont="1"/>
    <xf numFmtId="164" fontId="0" fillId="3" borderId="1" xfId="0" applyNumberFormat="1" applyFill="1" applyBorder="1"/>
    <xf numFmtId="164" fontId="19" fillId="0" borderId="0" xfId="0" applyNumberFormat="1" applyFont="1"/>
    <xf numFmtId="10" fontId="19" fillId="0" borderId="0" xfId="0" applyNumberFormat="1" applyFont="1"/>
    <xf numFmtId="170" fontId="19" fillId="0" borderId="0" xfId="0" applyNumberFormat="1" applyFont="1"/>
    <xf numFmtId="0" fontId="21" fillId="0" borderId="0" xfId="0" applyFont="1"/>
    <xf numFmtId="0" fontId="0" fillId="10" borderId="0" xfId="0" applyFill="1"/>
    <xf numFmtId="172" fontId="0" fillId="0" borderId="0" xfId="1" applyNumberFormat="1" applyFont="1"/>
    <xf numFmtId="172" fontId="0" fillId="0" borderId="0" xfId="1" applyNumberFormat="1" applyFont="1" applyBorder="1"/>
    <xf numFmtId="9" fontId="0" fillId="0" borderId="0" xfId="0" applyNumberFormat="1"/>
    <xf numFmtId="9" fontId="0" fillId="0" borderId="0" xfId="2" applyFont="1"/>
    <xf numFmtId="173" fontId="24" fillId="11" borderId="0" xfId="4" applyNumberFormat="1" applyFont="1" applyAlignment="1">
      <alignment horizontal="right"/>
    </xf>
    <xf numFmtId="0" fontId="24" fillId="11" borderId="0" xfId="4" applyFont="1" applyAlignment="1">
      <alignment horizontal="center" vertical="center" wrapText="1"/>
    </xf>
    <xf numFmtId="172" fontId="0" fillId="0" borderId="0" xfId="3" applyNumberFormat="1" applyFont="1"/>
    <xf numFmtId="172" fontId="0" fillId="0" borderId="0" xfId="0" applyNumberFormat="1"/>
    <xf numFmtId="43" fontId="0" fillId="0" borderId="0" xfId="0" applyNumberFormat="1"/>
    <xf numFmtId="172" fontId="0" fillId="0" borderId="0" xfId="3" applyNumberFormat="1" applyFont="1" applyBorder="1"/>
    <xf numFmtId="173" fontId="24" fillId="0" borderId="0" xfId="4" applyNumberFormat="1" applyFont="1" applyFill="1" applyAlignment="1">
      <alignment horizontal="right"/>
    </xf>
    <xf numFmtId="172" fontId="0" fillId="0" borderId="0" xfId="1" applyNumberFormat="1" applyFont="1" applyFill="1"/>
    <xf numFmtId="172" fontId="0" fillId="0" borderId="0" xfId="3" applyNumberFormat="1" applyFont="1" applyFill="1"/>
    <xf numFmtId="0" fontId="1" fillId="0" borderId="0" xfId="0" applyFont="1"/>
    <xf numFmtId="0" fontId="0" fillId="0" borderId="0" xfId="0"/>
    <xf numFmtId="0" fontId="3" fillId="2" borderId="0" xfId="0" applyFont="1" applyFill="1"/>
    <xf numFmtId="0" fontId="9" fillId="5" borderId="0" xfId="0" applyFont="1" applyFill="1"/>
    <xf numFmtId="0" fontId="2" fillId="0" borderId="0" xfId="0" applyFont="1"/>
    <xf numFmtId="0" fontId="3" fillId="4" borderId="0" xfId="0" applyFont="1" applyFill="1"/>
    <xf numFmtId="0" fontId="6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7" fillId="0" borderId="0" xfId="0" applyFont="1"/>
    <xf numFmtId="0" fontId="3" fillId="9" borderId="0" xfId="0" applyFont="1" applyFill="1"/>
    <xf numFmtId="0" fontId="22" fillId="0" borderId="0" xfId="0" applyFont="1"/>
    <xf numFmtId="172" fontId="23" fillId="4" borderId="0" xfId="1" applyNumberFormat="1" applyFont="1" applyFill="1"/>
    <xf numFmtId="172" fontId="0" fillId="0" borderId="0" xfId="1" applyNumberFormat="1" applyFont="1"/>
  </cellXfs>
  <cellStyles count="5">
    <cellStyle name="Accent1" xfId="4" builtinId="29"/>
    <cellStyle name="Comma" xfId="1" builtinId="3"/>
    <cellStyle name="Comma 2 3" xfId="3" xr:uid="{5CFE01C6-6D32-41F1-B67E-37D6BB4E1035}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GTN %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Charts!$B$6</c:f>
              <c:strCache>
                <c:ptCount val="1"/>
                <c:pt idx="0">
                  <c:v>GTN %</c:v>
                </c:pt>
              </c:strCache>
            </c:strRef>
          </c:tx>
          <c:spPr>
            <a:ln w="30000">
              <a:solidFill>
                <a:srgbClr val="E31D93"/>
              </a:solidFill>
              <a:prstDash val="solid"/>
            </a:ln>
          </c:spPr>
          <c:marker>
            <c:symbol val="none"/>
          </c:marker>
          <c:cat>
            <c:strRef>
              <c:f>Charts!$A$7:$A$18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Charts!$B$7:$B$18</c:f>
              <c:numCache>
                <c:formatCode>0.00%</c:formatCode>
                <c:ptCount val="12"/>
                <c:pt idx="0">
                  <c:v>0</c:v>
                </c:pt>
                <c:pt idx="1">
                  <c:v>0.77227540455190324</c:v>
                </c:pt>
                <c:pt idx="2">
                  <c:v>0.74243691640495646</c:v>
                </c:pt>
                <c:pt idx="3">
                  <c:v>0.70524055455469359</c:v>
                </c:pt>
                <c:pt idx="4">
                  <c:v>0.6274277057901837</c:v>
                </c:pt>
                <c:pt idx="5">
                  <c:v>0.51750223517044658</c:v>
                </c:pt>
                <c:pt idx="6">
                  <c:v>0.41947177544268871</c:v>
                </c:pt>
                <c:pt idx="7">
                  <c:v>0.35984212460851467</c:v>
                </c:pt>
                <c:pt idx="8">
                  <c:v>0.30719077609766471</c:v>
                </c:pt>
                <c:pt idx="9">
                  <c:v>0.1965078126823562</c:v>
                </c:pt>
                <c:pt idx="10">
                  <c:v>0.16620734439237092</c:v>
                </c:pt>
                <c:pt idx="11">
                  <c:v>0.17004965511685552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22-44B1-B9C5-655B58158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GTN %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Coverage Impact on GTN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6458333333333334E-2"/>
          <c:y val="3.8217592592592595E-2"/>
          <c:w val="0.95149305555555552"/>
          <c:h val="0.89401481481481482"/>
        </c:manualLayout>
      </c:layout>
      <c:lineChart>
        <c:grouping val="standard"/>
        <c:varyColors val="1"/>
        <c:ser>
          <c:idx val="0"/>
          <c:order val="0"/>
          <c:tx>
            <c:strRef>
              <c:f>Charts!$B$6</c:f>
              <c:strCache>
                <c:ptCount val="1"/>
                <c:pt idx="0">
                  <c:v>GTN %</c:v>
                </c:pt>
              </c:strCache>
            </c:strRef>
          </c:tx>
          <c:spPr>
            <a:ln w="30000">
              <a:solidFill>
                <a:srgbClr val="E31D93"/>
              </a:solidFill>
              <a:prstDash val="solid"/>
            </a:ln>
          </c:spPr>
          <c:marker>
            <c:symbol val="none"/>
          </c:marker>
          <c:cat>
            <c:strRef>
              <c:f>Charts!$A$7:$A$18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Charts!$B$7:$B$18</c:f>
              <c:numCache>
                <c:formatCode>0.00%</c:formatCode>
                <c:ptCount val="12"/>
                <c:pt idx="0">
                  <c:v>0</c:v>
                </c:pt>
                <c:pt idx="1">
                  <c:v>0.77227540455190324</c:v>
                </c:pt>
                <c:pt idx="2">
                  <c:v>0.74243691640495646</c:v>
                </c:pt>
                <c:pt idx="3">
                  <c:v>0.70524055455469359</c:v>
                </c:pt>
                <c:pt idx="4">
                  <c:v>0.6274277057901837</c:v>
                </c:pt>
                <c:pt idx="5">
                  <c:v>0.51750223517044658</c:v>
                </c:pt>
                <c:pt idx="6">
                  <c:v>0.41947177544268871</c:v>
                </c:pt>
                <c:pt idx="7">
                  <c:v>0.35984212460851467</c:v>
                </c:pt>
                <c:pt idx="8">
                  <c:v>0.30719077609766471</c:v>
                </c:pt>
                <c:pt idx="9">
                  <c:v>0.1965078126823562</c:v>
                </c:pt>
                <c:pt idx="10">
                  <c:v>0.16620734439237092</c:v>
                </c:pt>
                <c:pt idx="11">
                  <c:v>0.17004965511685552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D0-4C4F-96E7-1DBCCA879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Charts!$C$6</c:f>
              <c:strCache>
                <c:ptCount val="1"/>
                <c:pt idx="0">
                  <c:v>Coverage %</c:v>
                </c:pt>
              </c:strCache>
            </c:strRef>
          </c:tx>
          <c:spPr>
            <a:ln w="30000">
              <a:solidFill>
                <a:srgbClr val="71B4BE"/>
              </a:solidFill>
              <a:prstDash val="solid"/>
            </a:ln>
          </c:spPr>
          <c:marker>
            <c:symbol val="none"/>
          </c:marker>
          <c:val>
            <c:numRef>
              <c:f>Charts!$C$7:$C$18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0.06</c:v>
                </c:pt>
                <c:pt idx="4">
                  <c:v>0.11</c:v>
                </c:pt>
                <c:pt idx="5">
                  <c:v>0.28999999999999998</c:v>
                </c:pt>
                <c:pt idx="6">
                  <c:v>0.44</c:v>
                </c:pt>
                <c:pt idx="7">
                  <c:v>0.52</c:v>
                </c:pt>
                <c:pt idx="8">
                  <c:v>0.57999999999999996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0.57999999999999996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D0-4C4F-96E7-1DBCCA879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Program Costs: Covered vs Not Covered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Charts!$D$6</c:f>
              <c:strCache>
                <c:ptCount val="1"/>
                <c:pt idx="0">
                  <c:v>Covered Cost</c:v>
                </c:pt>
              </c:strCache>
            </c:strRef>
          </c:tx>
          <c:spPr>
            <a:solidFill>
              <a:srgbClr val="71B4BE"/>
            </a:solidFill>
            <a:ln>
              <a:prstDash val="solid"/>
            </a:ln>
          </c:spPr>
          <c:invertIfNegative val="1"/>
          <c:cat>
            <c:strRef>
              <c:f>Charts!$A$7:$A$18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Charts!$D$7:$D$18</c:f>
              <c:numCache>
                <c:formatCode>"$"#,##0</c:formatCode>
                <c:ptCount val="12"/>
                <c:pt idx="0">
                  <c:v>0</c:v>
                </c:pt>
                <c:pt idx="1">
                  <c:v>58709.921023200004</c:v>
                </c:pt>
                <c:pt idx="2">
                  <c:v>88986.826463999998</c:v>
                </c:pt>
                <c:pt idx="3">
                  <c:v>125169.61245360001</c:v>
                </c:pt>
                <c:pt idx="4">
                  <c:v>249897.19095479997</c:v>
                </c:pt>
                <c:pt idx="5">
                  <c:v>475250.60272559995</c:v>
                </c:pt>
                <c:pt idx="6">
                  <c:v>683698.19304080005</c:v>
                </c:pt>
                <c:pt idx="7">
                  <c:v>724616.13254160027</c:v>
                </c:pt>
                <c:pt idx="8">
                  <c:v>715502.76788880012</c:v>
                </c:pt>
                <c:pt idx="9">
                  <c:v>612853.42459119996</c:v>
                </c:pt>
                <c:pt idx="10">
                  <c:v>490407.90067760018</c:v>
                </c:pt>
                <c:pt idx="11">
                  <c:v>575509.03815600032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C4-4633-B89A-6390AB71EF55}"/>
            </c:ext>
          </c:extLst>
        </c:ser>
        <c:ser>
          <c:idx val="1"/>
          <c:order val="1"/>
          <c:tx>
            <c:strRef>
              <c:f>Charts!$E$6</c:f>
              <c:strCache>
                <c:ptCount val="1"/>
                <c:pt idx="0">
                  <c:v>Not Covered Cost</c:v>
                </c:pt>
              </c:strCache>
            </c:strRef>
          </c:tx>
          <c:spPr>
            <a:solidFill>
              <a:srgbClr val="E31D93"/>
            </a:solidFill>
            <a:ln>
              <a:prstDash val="solid"/>
            </a:ln>
          </c:spPr>
          <c:invertIfNegative val="1"/>
          <c:cat>
            <c:strRef>
              <c:f>Charts!$A$7:$A$18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Charts!$E$7:$E$18</c:f>
              <c:numCache>
                <c:formatCode>"$"#,##0</c:formatCode>
                <c:ptCount val="12"/>
                <c:pt idx="0">
                  <c:v>0</c:v>
                </c:pt>
                <c:pt idx="1">
                  <c:v>87498.563712000003</c:v>
                </c:pt>
                <c:pt idx="2">
                  <c:v>140908.18560000003</c:v>
                </c:pt>
                <c:pt idx="3">
                  <c:v>212083.47313999999</c:v>
                </c:pt>
                <c:pt idx="4">
                  <c:v>268141.19227</c:v>
                </c:pt>
                <c:pt idx="5">
                  <c:v>258460.81120999999</c:v>
                </c:pt>
                <c:pt idx="6">
                  <c:v>247016.96082000001</c:v>
                </c:pt>
                <c:pt idx="7">
                  <c:v>316421.01666000002</c:v>
                </c:pt>
                <c:pt idx="8">
                  <c:v>444661.01441999996</c:v>
                </c:pt>
                <c:pt idx="9">
                  <c:v>242609.34600000002</c:v>
                </c:pt>
                <c:pt idx="10">
                  <c:v>357448.67046000005</c:v>
                </c:pt>
                <c:pt idx="11">
                  <c:v>457121.73528000002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EC4-4633-B89A-6390AB71E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($)</a:t>
                </a:r>
              </a:p>
            </c:rich>
          </c:tx>
          <c:overlay val="1"/>
        </c:title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614583333333331"/>
          <c:y val="0.22929328703703705"/>
          <c:w val="0.19460069444444444"/>
          <c:h val="0.1063208333333333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GTN: Accrued (ExFactory) vs Actual (Rx)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Accruals!$B$50</c:f>
              <c:strCache>
                <c:ptCount val="1"/>
                <c:pt idx="0">
                  <c:v>Accrued</c:v>
                </c:pt>
              </c:strCache>
            </c:strRef>
          </c:tx>
          <c:spPr>
            <a:solidFill>
              <a:srgbClr val="E31D93"/>
            </a:solidFill>
            <a:ln>
              <a:prstDash val="solid"/>
            </a:ln>
          </c:spPr>
          <c:invertIfNegative val="1"/>
          <c:cat>
            <c:strRef>
              <c:f>Accruals!$A$51:$A$62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Accruals!$B$51:$B$62</c:f>
              <c:numCache>
                <c:formatCode>"$"#,##0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585205.11112254753</c:v>
                </c:pt>
                <c:pt idx="3">
                  <c:v>980359.83157036139</c:v>
                </c:pt>
                <c:pt idx="4">
                  <c:v>1646093.6043751885</c:v>
                </c:pt>
                <c:pt idx="5">
                  <c:v>1575944.7698688856</c:v>
                </c:pt>
                <c:pt idx="6">
                  <c:v>2815082.5306198979</c:v>
                </c:pt>
                <c:pt idx="7">
                  <c:v>2113915.0511455075</c:v>
                </c:pt>
                <c:pt idx="8">
                  <c:v>2662213.4131153254</c:v>
                </c:pt>
                <c:pt idx="9">
                  <c:v>1574355.0598555084</c:v>
                </c:pt>
                <c:pt idx="10">
                  <c:v>1907910.9347736456</c:v>
                </c:pt>
                <c:pt idx="11">
                  <c:v>1807184.4719288708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6E-4062-AEB0-E47A21DF2D70}"/>
            </c:ext>
          </c:extLst>
        </c:ser>
        <c:ser>
          <c:idx val="1"/>
          <c:order val="1"/>
          <c:tx>
            <c:strRef>
              <c:f>Accruals!$C$50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1B4BE"/>
            </a:solidFill>
            <a:ln>
              <a:prstDash val="solid"/>
            </a:ln>
          </c:spPr>
          <c:invertIfNegative val="1"/>
          <c:cat>
            <c:strRef>
              <c:f>Accruals!$A$51:$A$62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Accruals!$C$51:$C$62</c:f>
              <c:numCache>
                <c:formatCode>"$"#,##0</c:formatCode>
                <c:ptCount val="12"/>
                <c:pt idx="0">
                  <c:v>0</c:v>
                </c:pt>
                <c:pt idx="1">
                  <c:v>146208.48473520001</c:v>
                </c:pt>
                <c:pt idx="2">
                  <c:v>229895.01206400001</c:v>
                </c:pt>
                <c:pt idx="3">
                  <c:v>337253.0855936</c:v>
                </c:pt>
                <c:pt idx="4">
                  <c:v>518038.3832248</c:v>
                </c:pt>
                <c:pt idx="5">
                  <c:v>733711.41393559997</c:v>
                </c:pt>
                <c:pt idx="6">
                  <c:v>930715.15386080008</c:v>
                </c:pt>
                <c:pt idx="7">
                  <c:v>1041037.1492016003</c:v>
                </c:pt>
                <c:pt idx="8">
                  <c:v>1160163.7823088001</c:v>
                </c:pt>
                <c:pt idx="9">
                  <c:v>855462.77059119998</c:v>
                </c:pt>
                <c:pt idx="10">
                  <c:v>847856.57113760023</c:v>
                </c:pt>
                <c:pt idx="11">
                  <c:v>1032630.7734360003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16E-4062-AEB0-E47A21DF2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GTN ($)</a:t>
                </a:r>
              </a:p>
            </c:rich>
          </c:tx>
          <c:overlay val="1"/>
        </c:title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6832708333333329"/>
          <c:y val="0.14697847222222224"/>
          <c:w val="0.11068333333333333"/>
          <c:h val="0.1063208333333333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Baseline vs Scenario GTN %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Scenarios!$B$25</c:f>
              <c:strCache>
                <c:ptCount val="1"/>
                <c:pt idx="0">
                  <c:v>Baseline GTN</c:v>
                </c:pt>
              </c:strCache>
            </c:strRef>
          </c:tx>
          <c:spPr>
            <a:ln w="25000">
              <a:solidFill>
                <a:srgbClr val="172852"/>
              </a:solidFill>
              <a:prstDash val="solid"/>
            </a:ln>
          </c:spPr>
          <c:marker>
            <c:symbol val="none"/>
          </c:marker>
          <c:cat>
            <c:strRef>
              <c:f>Scenarios!$A$26:$A$37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Scenarios!$B$26:$B$37</c:f>
              <c:numCache>
                <c:formatCode>0.00%</c:formatCode>
                <c:ptCount val="12"/>
                <c:pt idx="0">
                  <c:v>0</c:v>
                </c:pt>
                <c:pt idx="1">
                  <c:v>0.77227540455190324</c:v>
                </c:pt>
                <c:pt idx="2">
                  <c:v>0.74243691640495646</c:v>
                </c:pt>
                <c:pt idx="3">
                  <c:v>0.70524055455469359</c:v>
                </c:pt>
                <c:pt idx="4">
                  <c:v>0.6274277057901837</c:v>
                </c:pt>
                <c:pt idx="5">
                  <c:v>0.51750223517044658</c:v>
                </c:pt>
                <c:pt idx="6">
                  <c:v>0.41947177544268871</c:v>
                </c:pt>
                <c:pt idx="7">
                  <c:v>0.35984212460851467</c:v>
                </c:pt>
                <c:pt idx="8">
                  <c:v>0.30719077609766471</c:v>
                </c:pt>
                <c:pt idx="9">
                  <c:v>0.1965078126823562</c:v>
                </c:pt>
                <c:pt idx="10">
                  <c:v>0.16620734439237092</c:v>
                </c:pt>
                <c:pt idx="11">
                  <c:v>0.17004965511685552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C7-4CEA-8A54-D7923CECEC9B}"/>
            </c:ext>
          </c:extLst>
        </c:ser>
        <c:ser>
          <c:idx val="1"/>
          <c:order val="1"/>
          <c:tx>
            <c:strRef>
              <c:f>Scenarios!$C$25</c:f>
              <c:strCache>
                <c:ptCount val="1"/>
                <c:pt idx="0">
                  <c:v>Scenario GTN</c:v>
                </c:pt>
              </c:strCache>
            </c:strRef>
          </c:tx>
          <c:spPr>
            <a:ln w="25000">
              <a:solidFill>
                <a:srgbClr val="E31D93"/>
              </a:solidFill>
              <a:prstDash val="solid"/>
            </a:ln>
          </c:spPr>
          <c:marker>
            <c:symbol val="none"/>
          </c:marker>
          <c:cat>
            <c:strRef>
              <c:f>Scenarios!$A$26:$A$37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Scenarios!$C$26:$C$37</c:f>
              <c:numCache>
                <c:formatCode>0.00%</c:formatCode>
                <c:ptCount val="12"/>
                <c:pt idx="0">
                  <c:v>0</c:v>
                </c:pt>
                <c:pt idx="1">
                  <c:v>0.77227540455190324</c:v>
                </c:pt>
                <c:pt idx="2">
                  <c:v>0.74243691640495646</c:v>
                </c:pt>
                <c:pt idx="3">
                  <c:v>0.70524055455469359</c:v>
                </c:pt>
                <c:pt idx="4">
                  <c:v>0.6274277057901837</c:v>
                </c:pt>
                <c:pt idx="5">
                  <c:v>0.51750223517044658</c:v>
                </c:pt>
                <c:pt idx="6">
                  <c:v>0.41947177544268871</c:v>
                </c:pt>
                <c:pt idx="7">
                  <c:v>0.35984212460851467</c:v>
                </c:pt>
                <c:pt idx="8">
                  <c:v>0.30719077609766471</c:v>
                </c:pt>
                <c:pt idx="9">
                  <c:v>0.1965078126823562</c:v>
                </c:pt>
                <c:pt idx="10">
                  <c:v>0.16620734439237092</c:v>
                </c:pt>
                <c:pt idx="11">
                  <c:v>0.17004965511685552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C7-4CEA-8A54-D7923CECE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287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5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607695</xdr:colOff>
      <xdr:row>29</xdr:row>
      <xdr:rowOff>36195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533400</xdr:colOff>
      <xdr:row>28</xdr:row>
      <xdr:rowOff>0</xdr:rowOff>
    </xdr:from>
    <xdr:ext cx="576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0</xdr:row>
      <xdr:rowOff>0</xdr:rowOff>
    </xdr:from>
    <xdr:ext cx="1905000" cy="47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542925</xdr:colOff>
      <xdr:row>41</xdr:row>
      <xdr:rowOff>66675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0</xdr:row>
      <xdr:rowOff>0</xdr:rowOff>
    </xdr:from>
    <xdr:ext cx="1905000" cy="47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39</xdr:row>
      <xdr:rowOff>47625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0</xdr:row>
      <xdr:rowOff>0</xdr:rowOff>
    </xdr:from>
    <xdr:ext cx="1905000" cy="47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9050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905000" cy="4762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19050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099872B-970C-441E-90E5-4B807BB414B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"/>
          <a:ext cx="1905000" cy="4762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t Jones" id="{B3432011-68F5-41D8-A669-864FD57A3AE5}" userId="S::mjones@milestonepharma.com::c35a6cc2-52d7-440d-a82c-e3be2a2bc6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" dT="2026-01-27T01:35:23.60" personId="{B3432011-68F5-41D8-A669-864FD57A3AE5}" id="{158985F0-33CF-4447-A864-86E226220DB6}">
    <text xml:space="preserve">ExFactory units don’t match chart. </text>
  </threadedComment>
  <threadedComment ref="E21" dT="2026-01-27T21:17:33.21" personId="{B3432011-68F5-41D8-A669-864FD57A3AE5}" id="{447CDA9E-8737-4D64-9E6A-56C140CF1978}">
    <text xml:space="preserve">We should probably create an estimate on the Model tab to forecast the GTN% on stocking units shipped. </text>
  </threadedComment>
  <threadedComment ref="D31" dT="2026-01-27T21:16:38.78" personId="{B3432011-68F5-41D8-A669-864FD57A3AE5}" id="{3FC00A1C-E5A1-4B95-BDF9-1647685A46FA}">
    <text xml:space="preserve">Don’t think we will need a cumulative variance here since we are just trying to show the sensitivity between exFactor and true script demand over time. </text>
  </threadedComment>
  <threadedComment ref="F37" dT="2026-01-27T21:15:43.91" personId="{B3432011-68F5-41D8-A669-864FD57A3AE5}" id="{4205EFCE-51F3-4A77-B878-B5E7C0710D5A}">
    <text xml:space="preserve">If we think we will have 30day PM terms, we should shift these a month to make sure we are matching payments with the accrual release.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61"/>
  <sheetViews>
    <sheetView tabSelected="1" topLeftCell="A21" workbookViewId="0">
      <selection activeCell="F34" sqref="F34"/>
    </sheetView>
  </sheetViews>
  <sheetFormatPr defaultRowHeight="15" x14ac:dyDescent="0.25"/>
  <cols>
    <col min="1" max="1" width="32" customWidth="1"/>
    <col min="2" max="2" width="3" customWidth="1"/>
    <col min="3" max="3" width="15" customWidth="1"/>
    <col min="4" max="4" width="25" customWidth="1"/>
  </cols>
  <sheetData>
    <row r="4" spans="1:6" ht="23.25" x14ac:dyDescent="0.35">
      <c r="A4" s="73" t="s">
        <v>0</v>
      </c>
      <c r="B4" s="74"/>
      <c r="C4" s="74"/>
      <c r="D4" s="74"/>
      <c r="E4" s="74"/>
      <c r="F4" s="74"/>
    </row>
    <row r="5" spans="1:6" x14ac:dyDescent="0.25">
      <c r="A5" s="77" t="s">
        <v>1</v>
      </c>
      <c r="B5" s="74"/>
      <c r="C5" s="74"/>
      <c r="D5" s="74"/>
      <c r="E5" s="74"/>
      <c r="F5" s="74"/>
    </row>
    <row r="7" spans="1:6" ht="15.75" x14ac:dyDescent="0.25">
      <c r="A7" s="75" t="s">
        <v>2</v>
      </c>
      <c r="B7" s="74"/>
      <c r="C7" s="74"/>
      <c r="D7" s="74"/>
    </row>
    <row r="8" spans="1:6" x14ac:dyDescent="0.25">
      <c r="A8" s="2" t="s">
        <v>3</v>
      </c>
      <c r="C8" s="3">
        <v>1649</v>
      </c>
      <c r="D8" s="4" t="s">
        <v>4</v>
      </c>
    </row>
    <row r="9" spans="1:6" x14ac:dyDescent="0.25">
      <c r="A9" s="2" t="s">
        <v>5</v>
      </c>
      <c r="C9" s="3">
        <v>25</v>
      </c>
      <c r="D9" s="4" t="s">
        <v>6</v>
      </c>
    </row>
    <row r="10" spans="1:6" x14ac:dyDescent="0.25">
      <c r="A10" s="2" t="s">
        <v>7</v>
      </c>
      <c r="C10" s="5">
        <v>0.8</v>
      </c>
      <c r="D10" s="4" t="s">
        <v>8</v>
      </c>
    </row>
    <row r="11" spans="1:6" x14ac:dyDescent="0.25">
      <c r="A11" s="2" t="s">
        <v>9</v>
      </c>
      <c r="C11" s="5">
        <v>0</v>
      </c>
      <c r="D11" s="4" t="s">
        <v>10</v>
      </c>
    </row>
    <row r="13" spans="1:6" ht="15.75" x14ac:dyDescent="0.25">
      <c r="A13" s="75" t="s">
        <v>11</v>
      </c>
      <c r="B13" s="74"/>
      <c r="C13" s="74"/>
      <c r="D13" s="74"/>
    </row>
    <row r="14" spans="1:6" x14ac:dyDescent="0.25">
      <c r="A14" t="s">
        <v>12</v>
      </c>
      <c r="C14" s="5">
        <v>0.8</v>
      </c>
    </row>
    <row r="15" spans="1:6" x14ac:dyDescent="0.25">
      <c r="A15" t="s">
        <v>13</v>
      </c>
      <c r="C15" s="5">
        <v>0.2</v>
      </c>
    </row>
    <row r="16" spans="1:6" x14ac:dyDescent="0.25">
      <c r="A16" t="s">
        <v>14</v>
      </c>
      <c r="C16" s="3">
        <v>65</v>
      </c>
    </row>
    <row r="17" spans="1:4" x14ac:dyDescent="0.25">
      <c r="A17" t="s">
        <v>15</v>
      </c>
      <c r="C17" s="5">
        <v>0.35</v>
      </c>
    </row>
    <row r="18" spans="1:4" x14ac:dyDescent="0.25">
      <c r="A18" t="s">
        <v>16</v>
      </c>
      <c r="C18" s="6">
        <v>1764.175</v>
      </c>
      <c r="D18" s="4" t="s">
        <v>148</v>
      </c>
    </row>
    <row r="20" spans="1:4" ht="15.75" x14ac:dyDescent="0.25">
      <c r="A20" s="78" t="s">
        <v>17</v>
      </c>
      <c r="B20" s="74"/>
      <c r="C20" s="74"/>
      <c r="D20" s="74"/>
    </row>
    <row r="21" spans="1:4" x14ac:dyDescent="0.25">
      <c r="A21" s="79" t="s">
        <v>18</v>
      </c>
      <c r="B21" s="74"/>
      <c r="C21" s="74"/>
      <c r="D21" s="74"/>
    </row>
    <row r="22" spans="1:4" x14ac:dyDescent="0.25">
      <c r="A22" s="8" t="s">
        <v>19</v>
      </c>
      <c r="C22" s="9">
        <v>0</v>
      </c>
      <c r="D22" s="10" t="str">
        <f t="shared" ref="D22:D33" si="0">REPT("█",ROUND(C22*20,0))</f>
        <v/>
      </c>
    </row>
    <row r="23" spans="1:4" x14ac:dyDescent="0.25">
      <c r="A23" s="8" t="s">
        <v>20</v>
      </c>
      <c r="C23" s="9">
        <v>0</v>
      </c>
      <c r="D23" s="10" t="str">
        <f t="shared" si="0"/>
        <v/>
      </c>
    </row>
    <row r="24" spans="1:4" x14ac:dyDescent="0.25">
      <c r="A24" s="8" t="s">
        <v>21</v>
      </c>
      <c r="C24" s="9">
        <v>0</v>
      </c>
      <c r="D24" s="10" t="str">
        <f t="shared" si="0"/>
        <v/>
      </c>
    </row>
    <row r="25" spans="1:4" x14ac:dyDescent="0.25">
      <c r="A25" s="8" t="s">
        <v>22</v>
      </c>
      <c r="C25" s="9">
        <v>0.06</v>
      </c>
      <c r="D25" s="10" t="str">
        <f t="shared" si="0"/>
        <v>█</v>
      </c>
    </row>
    <row r="26" spans="1:4" x14ac:dyDescent="0.25">
      <c r="A26" s="8" t="s">
        <v>23</v>
      </c>
      <c r="C26" s="9">
        <v>0.11</v>
      </c>
      <c r="D26" s="10" t="str">
        <f t="shared" si="0"/>
        <v>██</v>
      </c>
    </row>
    <row r="27" spans="1:4" x14ac:dyDescent="0.25">
      <c r="A27" s="8" t="s">
        <v>24</v>
      </c>
      <c r="C27" s="9">
        <v>0.28999999999999998</v>
      </c>
      <c r="D27" s="10" t="str">
        <f t="shared" si="0"/>
        <v>██████</v>
      </c>
    </row>
    <row r="28" spans="1:4" x14ac:dyDescent="0.25">
      <c r="A28" s="8" t="s">
        <v>25</v>
      </c>
      <c r="C28" s="9">
        <v>0.44</v>
      </c>
      <c r="D28" s="10" t="str">
        <f t="shared" si="0"/>
        <v>█████████</v>
      </c>
    </row>
    <row r="29" spans="1:4" x14ac:dyDescent="0.25">
      <c r="A29" s="8" t="s">
        <v>26</v>
      </c>
      <c r="C29" s="9">
        <v>0.52</v>
      </c>
      <c r="D29" s="10" t="str">
        <f t="shared" si="0"/>
        <v>██████████</v>
      </c>
    </row>
    <row r="30" spans="1:4" x14ac:dyDescent="0.25">
      <c r="A30" s="8" t="s">
        <v>27</v>
      </c>
      <c r="C30" s="9">
        <v>0.57999999999999996</v>
      </c>
      <c r="D30" s="10" t="str">
        <f t="shared" si="0"/>
        <v>████████████</v>
      </c>
    </row>
    <row r="31" spans="1:4" x14ac:dyDescent="0.25">
      <c r="A31" s="8" t="s">
        <v>28</v>
      </c>
      <c r="C31" s="9">
        <v>0.57999999999999996</v>
      </c>
      <c r="D31" s="10" t="str">
        <f t="shared" si="0"/>
        <v>████████████</v>
      </c>
    </row>
    <row r="32" spans="1:4" x14ac:dyDescent="0.25">
      <c r="A32" s="8" t="s">
        <v>29</v>
      </c>
      <c r="C32" s="9">
        <v>0.57999999999999996</v>
      </c>
      <c r="D32" s="10" t="str">
        <f t="shared" si="0"/>
        <v>████████████</v>
      </c>
    </row>
    <row r="33" spans="1:4" x14ac:dyDescent="0.25">
      <c r="A33" s="8" t="s">
        <v>30</v>
      </c>
      <c r="C33" s="9">
        <v>0.57999999999999996</v>
      </c>
      <c r="D33" s="10" t="str">
        <f t="shared" si="0"/>
        <v>████████████</v>
      </c>
    </row>
    <row r="35" spans="1:4" x14ac:dyDescent="0.25">
      <c r="A35" s="76" t="s">
        <v>31</v>
      </c>
      <c r="B35" s="74"/>
      <c r="C35" s="74"/>
      <c r="D35" s="74"/>
    </row>
    <row r="36" spans="1:4" x14ac:dyDescent="0.25">
      <c r="A36" s="8" t="s">
        <v>19</v>
      </c>
      <c r="C36" s="9">
        <v>0.03</v>
      </c>
    </row>
    <row r="37" spans="1:4" x14ac:dyDescent="0.25">
      <c r="A37" s="8" t="s">
        <v>20</v>
      </c>
      <c r="C37" s="9">
        <v>0.11</v>
      </c>
    </row>
    <row r="38" spans="1:4" x14ac:dyDescent="0.25">
      <c r="A38" s="8" t="s">
        <v>21</v>
      </c>
      <c r="C38" s="9">
        <v>0.2</v>
      </c>
    </row>
    <row r="39" spans="1:4" x14ac:dyDescent="0.25">
      <c r="A39" s="8" t="s">
        <v>22</v>
      </c>
      <c r="C39" s="9">
        <v>0.29499999999999998</v>
      </c>
    </row>
    <row r="40" spans="1:4" x14ac:dyDescent="0.25">
      <c r="A40" s="8" t="s">
        <v>23</v>
      </c>
      <c r="C40" s="9">
        <v>0.39500000000000002</v>
      </c>
    </row>
    <row r="41" spans="1:4" x14ac:dyDescent="0.25">
      <c r="A41" s="8" t="s">
        <v>24</v>
      </c>
      <c r="C41" s="9">
        <v>0.495</v>
      </c>
    </row>
    <row r="42" spans="1:4" x14ac:dyDescent="0.25">
      <c r="A42" s="8" t="s">
        <v>25</v>
      </c>
      <c r="C42" s="9">
        <v>0.59499999999999997</v>
      </c>
    </row>
    <row r="43" spans="1:4" x14ac:dyDescent="0.25">
      <c r="A43" s="8" t="s">
        <v>26</v>
      </c>
      <c r="C43" s="9">
        <v>0.69</v>
      </c>
    </row>
    <row r="44" spans="1:4" x14ac:dyDescent="0.25">
      <c r="A44" s="8" t="s">
        <v>27</v>
      </c>
      <c r="C44" s="9">
        <v>0.78500000000000003</v>
      </c>
    </row>
    <row r="45" spans="1:4" x14ac:dyDescent="0.25">
      <c r="A45" s="8" t="s">
        <v>28</v>
      </c>
      <c r="C45" s="9">
        <v>0.88500000000000001</v>
      </c>
    </row>
    <row r="46" spans="1:4" x14ac:dyDescent="0.25">
      <c r="A46" s="8" t="s">
        <v>29</v>
      </c>
      <c r="C46" s="9">
        <v>0.94899999999999995</v>
      </c>
    </row>
    <row r="47" spans="1:4" x14ac:dyDescent="0.25">
      <c r="A47" s="8" t="s">
        <v>30</v>
      </c>
      <c r="C47" s="9">
        <v>0.95</v>
      </c>
    </row>
    <row r="49" spans="1:4" ht="15.75" x14ac:dyDescent="0.25">
      <c r="A49" s="75" t="s">
        <v>32</v>
      </c>
      <c r="B49" s="74"/>
      <c r="C49" s="74"/>
      <c r="D49" s="74"/>
    </row>
    <row r="50" spans="1:4" x14ac:dyDescent="0.25">
      <c r="A50" s="8" t="s">
        <v>19</v>
      </c>
      <c r="C50" s="9">
        <v>0.96</v>
      </c>
    </row>
    <row r="51" spans="1:4" x14ac:dyDescent="0.25">
      <c r="A51" s="8" t="s">
        <v>20</v>
      </c>
      <c r="C51" s="9">
        <v>0.96</v>
      </c>
    </row>
    <row r="52" spans="1:4" x14ac:dyDescent="0.25">
      <c r="A52" s="8" t="s">
        <v>21</v>
      </c>
      <c r="C52" s="9">
        <v>0.96</v>
      </c>
    </row>
    <row r="53" spans="1:4" x14ac:dyDescent="0.25">
      <c r="A53" s="8" t="s">
        <v>22</v>
      </c>
      <c r="C53" s="9">
        <v>0.95</v>
      </c>
    </row>
    <row r="54" spans="1:4" x14ac:dyDescent="0.25">
      <c r="A54" s="8" t="s">
        <v>23</v>
      </c>
      <c r="C54" s="9">
        <v>0.95</v>
      </c>
    </row>
    <row r="55" spans="1:4" x14ac:dyDescent="0.25">
      <c r="A55" s="8" t="s">
        <v>24</v>
      </c>
      <c r="C55" s="9">
        <v>0.95</v>
      </c>
    </row>
    <row r="56" spans="1:4" x14ac:dyDescent="0.25">
      <c r="A56" s="8" t="s">
        <v>25</v>
      </c>
      <c r="C56" s="9">
        <v>0.9</v>
      </c>
    </row>
    <row r="57" spans="1:4" x14ac:dyDescent="0.25">
      <c r="A57" s="8" t="s">
        <v>26</v>
      </c>
      <c r="C57" s="9">
        <v>0.9</v>
      </c>
    </row>
    <row r="58" spans="1:4" x14ac:dyDescent="0.25">
      <c r="A58" s="8" t="s">
        <v>27</v>
      </c>
      <c r="C58" s="9">
        <v>0.9</v>
      </c>
    </row>
    <row r="59" spans="1:4" x14ac:dyDescent="0.25">
      <c r="A59" s="8" t="s">
        <v>28</v>
      </c>
      <c r="C59" s="9">
        <v>0.9</v>
      </c>
    </row>
    <row r="60" spans="1:4" x14ac:dyDescent="0.25">
      <c r="A60" s="8" t="s">
        <v>29</v>
      </c>
      <c r="C60" s="9">
        <v>0.9</v>
      </c>
    </row>
    <row r="61" spans="1:4" x14ac:dyDescent="0.25">
      <c r="A61" s="8" t="s">
        <v>30</v>
      </c>
      <c r="C61" s="9">
        <v>0.9</v>
      </c>
    </row>
  </sheetData>
  <mergeCells count="8">
    <mergeCell ref="A4:F4"/>
    <mergeCell ref="A49:D49"/>
    <mergeCell ref="A13:D13"/>
    <mergeCell ref="A35:D35"/>
    <mergeCell ref="A5:F5"/>
    <mergeCell ref="A20:D20"/>
    <mergeCell ref="A21:D21"/>
    <mergeCell ref="A7:D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0"/>
  <sheetViews>
    <sheetView workbookViewId="0">
      <selection activeCell="C3" sqref="C3"/>
    </sheetView>
  </sheetViews>
  <sheetFormatPr defaultRowHeight="15" x14ac:dyDescent="0.25"/>
  <cols>
    <col min="4" max="4" width="40.7109375" bestFit="1" customWidth="1"/>
    <col min="5" max="16" width="11" customWidth="1"/>
    <col min="17" max="17" width="12" customWidth="1"/>
    <col min="18" max="18" width="25" customWidth="1"/>
  </cols>
  <sheetData>
    <row r="1" spans="2:18" ht="18.75" x14ac:dyDescent="0.3">
      <c r="D1" s="12" t="s">
        <v>33</v>
      </c>
    </row>
    <row r="2" spans="2:18" ht="15.75" x14ac:dyDescent="0.25">
      <c r="E2" s="80">
        <v>2026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2:18" ht="15.75" x14ac:dyDescent="0.25">
      <c r="B3" s="58" t="s">
        <v>151</v>
      </c>
      <c r="C3" s="59">
        <v>1</v>
      </c>
      <c r="E3" s="14" t="s">
        <v>19</v>
      </c>
      <c r="F3" s="14" t="s">
        <v>20</v>
      </c>
      <c r="G3" s="14" t="s">
        <v>21</v>
      </c>
      <c r="H3" s="14" t="s">
        <v>22</v>
      </c>
      <c r="I3" s="14" t="s">
        <v>23</v>
      </c>
      <c r="J3" s="14" t="s">
        <v>24</v>
      </c>
      <c r="K3" s="14" t="s">
        <v>25</v>
      </c>
      <c r="L3" s="14" t="s">
        <v>26</v>
      </c>
      <c r="M3" s="14" t="s">
        <v>27</v>
      </c>
      <c r="N3" s="14" t="s">
        <v>28</v>
      </c>
      <c r="O3" s="14" t="s">
        <v>29</v>
      </c>
      <c r="P3" s="14" t="s">
        <v>30</v>
      </c>
      <c r="Q3" s="13" t="s">
        <v>34</v>
      </c>
      <c r="R3" s="1" t="s">
        <v>35</v>
      </c>
    </row>
    <row r="4" spans="2:18" x14ac:dyDescent="0.25">
      <c r="D4" s="2" t="s">
        <v>36</v>
      </c>
      <c r="E4" s="15">
        <f>+IF($C$3=1,'Demand Models'!C10,'Demand Models'!C18)</f>
        <v>0</v>
      </c>
      <c r="F4" s="15">
        <f>+IF($C$3=1,'Demand Models'!D10,'Demand Models'!D18)</f>
        <v>50.23</v>
      </c>
      <c r="G4" s="15">
        <f>+IF($C$3=1,'Demand Models'!E10,'Demand Models'!E18)</f>
        <v>83.78</v>
      </c>
      <c r="H4" s="15">
        <f>+IF($C$3=1,'Demand Models'!F10,'Demand Models'!F18)</f>
        <v>131.82</v>
      </c>
      <c r="I4" s="15">
        <f>+IF($C$3=1,'Demand Models'!G10,'Demand Models'!G18)</f>
        <v>300.70999999999998</v>
      </c>
      <c r="J4" s="15">
        <f>+IF($C$3=1,'Demand Models'!H10,'Demand Models'!H18)</f>
        <v>667.02</v>
      </c>
      <c r="K4" s="15">
        <f>+IF($C$3=1,'Demand Models'!I10,'Demand Models'!I18)</f>
        <v>1151.06</v>
      </c>
      <c r="L4" s="15">
        <f>+IF($C$3=1,'Demand Models'!J10,'Demand Models'!J18)</f>
        <v>1505.31</v>
      </c>
      <c r="M4" s="15">
        <f>+IF($C$3=1,'Demand Models'!K10,'Demand Models'!K18)</f>
        <v>1940.22</v>
      </c>
      <c r="N4" s="15">
        <f>+IF($C$3=1,'Demand Models'!L10,'Demand Models'!L18)</f>
        <v>2448.98</v>
      </c>
      <c r="O4" s="15">
        <f>+IF($C$3=1,'Demand Models'!M10,'Demand Models'!M18)</f>
        <v>2812.1</v>
      </c>
      <c r="P4" s="15">
        <f>+IF($C$3=1,'Demand Models'!N10,'Demand Models'!N18)</f>
        <v>3322.67</v>
      </c>
      <c r="Q4" s="16">
        <f>SUM(E4:P4)</f>
        <v>14413.9</v>
      </c>
    </row>
    <row r="5" spans="2:18" x14ac:dyDescent="0.25">
      <c r="D5" s="2" t="s">
        <v>37</v>
      </c>
      <c r="E5" s="15">
        <f>+IF($C$3=1,'Demand Models'!C11,'Demand Models'!C19)</f>
        <v>0</v>
      </c>
      <c r="F5" s="15">
        <f>+IF($C$3=1,'Demand Models'!D11,'Demand Models'!D19)</f>
        <v>64.58</v>
      </c>
      <c r="G5" s="15">
        <f>+IF($C$3=1,'Demand Models'!E11,'Demand Models'!E19)</f>
        <v>104</v>
      </c>
      <c r="H5" s="15">
        <f>+IF($C$3=1,'Demand Models'!F11,'Demand Models'!F19)</f>
        <v>158.18</v>
      </c>
      <c r="I5" s="15">
        <f>+IF($C$3=1,'Demand Models'!G11,'Demand Models'!G19)</f>
        <v>199.99</v>
      </c>
      <c r="J5" s="15">
        <f>+IF($C$3=1,'Demand Models'!H11,'Demand Models'!H19)</f>
        <v>192.77</v>
      </c>
      <c r="K5" s="15">
        <f>+IF($C$3=1,'Demand Models'!I11,'Demand Models'!I19)</f>
        <v>194.47</v>
      </c>
      <c r="L5" s="15">
        <f>+IF($C$3=1,'Demand Models'!J11,'Demand Models'!J19)</f>
        <v>249.11</v>
      </c>
      <c r="M5" s="15">
        <f>+IF($C$3=1,'Demand Models'!K11,'Demand Models'!K19)</f>
        <v>350.07</v>
      </c>
      <c r="N5" s="15">
        <f>+IF($C$3=1,'Demand Models'!L11,'Demand Models'!L19)</f>
        <v>191</v>
      </c>
      <c r="O5" s="15">
        <f>+IF($C$3=1,'Demand Models'!M11,'Demand Models'!M19)</f>
        <v>281.41000000000003</v>
      </c>
      <c r="P5" s="15">
        <f>+IF($C$3=1,'Demand Models'!N11,'Demand Models'!N19)</f>
        <v>359.88</v>
      </c>
      <c r="Q5" s="16">
        <f>SUM(E5:P5)</f>
        <v>2345.46</v>
      </c>
    </row>
    <row r="6" spans="2:18" x14ac:dyDescent="0.25">
      <c r="D6" s="17" t="s">
        <v>38</v>
      </c>
      <c r="E6" s="18">
        <f>Assumptions!C22</f>
        <v>0</v>
      </c>
      <c r="F6" s="18">
        <f>Assumptions!C23</f>
        <v>0</v>
      </c>
      <c r="G6" s="18">
        <f>Assumptions!C24</f>
        <v>0</v>
      </c>
      <c r="H6" s="18">
        <f>Assumptions!C25</f>
        <v>0.06</v>
      </c>
      <c r="I6" s="18">
        <f>Assumptions!C26</f>
        <v>0.11</v>
      </c>
      <c r="J6" s="18">
        <f>Assumptions!C27</f>
        <v>0.28999999999999998</v>
      </c>
      <c r="K6" s="18">
        <f>Assumptions!C28</f>
        <v>0.44</v>
      </c>
      <c r="L6" s="18">
        <f>Assumptions!C29</f>
        <v>0.52</v>
      </c>
      <c r="M6" s="18">
        <f>Assumptions!C30</f>
        <v>0.57999999999999996</v>
      </c>
      <c r="N6" s="18">
        <f>Assumptions!C31</f>
        <v>0.57999999999999996</v>
      </c>
      <c r="O6" s="18">
        <f>Assumptions!C32</f>
        <v>0.57999999999999996</v>
      </c>
      <c r="P6" s="18">
        <f>Assumptions!C33</f>
        <v>0.57999999999999996</v>
      </c>
      <c r="Q6" s="19">
        <f>AVERAGE(E6:P6)</f>
        <v>0.3116666666666667</v>
      </c>
      <c r="R6" s="20"/>
    </row>
    <row r="7" spans="2:18" x14ac:dyDescent="0.25">
      <c r="D7" s="2" t="s">
        <v>39</v>
      </c>
      <c r="E7" s="21">
        <f>Assumptions!C50</f>
        <v>0.96</v>
      </c>
      <c r="F7" s="21">
        <f>Assumptions!C51</f>
        <v>0.96</v>
      </c>
      <c r="G7" s="21">
        <f>Assumptions!C52</f>
        <v>0.96</v>
      </c>
      <c r="H7" s="21">
        <f>Assumptions!C53</f>
        <v>0.95</v>
      </c>
      <c r="I7" s="21">
        <f>Assumptions!C54</f>
        <v>0.95</v>
      </c>
      <c r="J7" s="21">
        <f>Assumptions!C55</f>
        <v>0.95</v>
      </c>
      <c r="K7" s="21">
        <f>Assumptions!C56</f>
        <v>0.9</v>
      </c>
      <c r="L7" s="21">
        <f>Assumptions!C57</f>
        <v>0.9</v>
      </c>
      <c r="M7" s="21">
        <f>Assumptions!C58</f>
        <v>0.9</v>
      </c>
      <c r="N7" s="21">
        <f>Assumptions!C59</f>
        <v>0.9</v>
      </c>
      <c r="O7" s="21">
        <f>Assumptions!C60</f>
        <v>0.9</v>
      </c>
      <c r="P7" s="21">
        <f>Assumptions!C61</f>
        <v>0.9</v>
      </c>
    </row>
    <row r="8" spans="2:18" x14ac:dyDescent="0.25">
      <c r="D8" s="2" t="s">
        <v>40</v>
      </c>
      <c r="E8" s="19">
        <f>E6+((1-E6)*Assumptions!$C$11)</f>
        <v>0</v>
      </c>
      <c r="F8" s="19">
        <f>F6+((1-F6)*Assumptions!$C$11)</f>
        <v>0</v>
      </c>
      <c r="G8" s="19">
        <f>G6+((1-G6)*Assumptions!$C$11)</f>
        <v>0</v>
      </c>
      <c r="H8" s="19">
        <f>H6+((1-H6)*Assumptions!$C$11)</f>
        <v>0.06</v>
      </c>
      <c r="I8" s="19">
        <f>I6+((1-I6)*Assumptions!$C$11)</f>
        <v>0.11</v>
      </c>
      <c r="J8" s="19">
        <f>J6+((1-J6)*Assumptions!$C$11)</f>
        <v>0.28999999999999998</v>
      </c>
      <c r="K8" s="19">
        <f>K6+((1-K6)*Assumptions!$C$11)</f>
        <v>0.44</v>
      </c>
      <c r="L8" s="19">
        <f>L6+((1-L6)*Assumptions!$C$11)</f>
        <v>0.52</v>
      </c>
      <c r="M8" s="19">
        <f>M6+((1-M6)*Assumptions!$C$11)</f>
        <v>0.57999999999999996</v>
      </c>
      <c r="N8" s="19">
        <f>N6+((1-N6)*Assumptions!$C$11)</f>
        <v>0.57999999999999996</v>
      </c>
      <c r="O8" s="19">
        <f>O6+((1-O6)*Assumptions!$C$11)</f>
        <v>0.57999999999999996</v>
      </c>
      <c r="P8" s="19">
        <f>P6+((1-P6)*Assumptions!$C$11)</f>
        <v>0.57999999999999996</v>
      </c>
      <c r="Q8" s="19">
        <f>AVERAGE(E8:P8)</f>
        <v>0.3116666666666667</v>
      </c>
    </row>
    <row r="9" spans="2:18" x14ac:dyDescent="0.25">
      <c r="D9" s="2" t="s">
        <v>41</v>
      </c>
      <c r="E9" s="19">
        <f t="shared" ref="E9:P9" si="0">1-E8</f>
        <v>1</v>
      </c>
      <c r="F9" s="19">
        <f t="shared" si="0"/>
        <v>1</v>
      </c>
      <c r="G9" s="19">
        <f t="shared" si="0"/>
        <v>1</v>
      </c>
      <c r="H9" s="19">
        <f t="shared" si="0"/>
        <v>0.94</v>
      </c>
      <c r="I9" s="19">
        <f t="shared" si="0"/>
        <v>0.89</v>
      </c>
      <c r="J9" s="19">
        <f t="shared" si="0"/>
        <v>0.71</v>
      </c>
      <c r="K9" s="19">
        <f t="shared" si="0"/>
        <v>0.56000000000000005</v>
      </c>
      <c r="L9" s="19">
        <f t="shared" si="0"/>
        <v>0.48</v>
      </c>
      <c r="M9" s="19">
        <f t="shared" si="0"/>
        <v>0.42000000000000004</v>
      </c>
      <c r="N9" s="19">
        <f t="shared" si="0"/>
        <v>0.42000000000000004</v>
      </c>
      <c r="O9" s="19">
        <f t="shared" si="0"/>
        <v>0.42000000000000004</v>
      </c>
      <c r="P9" s="19">
        <f t="shared" si="0"/>
        <v>0.42000000000000004</v>
      </c>
      <c r="Q9" s="19">
        <f>AVERAGE(E9:P9)</f>
        <v>0.68833333333333335</v>
      </c>
    </row>
    <row r="10" spans="2:18" x14ac:dyDescent="0.25">
      <c r="D10" s="2" t="s">
        <v>42</v>
      </c>
      <c r="E10" s="19">
        <f>Assumptions!C36</f>
        <v>0.03</v>
      </c>
      <c r="F10" s="19">
        <f>Assumptions!C37</f>
        <v>0.11</v>
      </c>
      <c r="G10" s="19">
        <f>Assumptions!C38</f>
        <v>0.2</v>
      </c>
      <c r="H10" s="19">
        <f>Assumptions!C39</f>
        <v>0.29499999999999998</v>
      </c>
      <c r="I10" s="19">
        <f>Assumptions!C40</f>
        <v>0.39500000000000002</v>
      </c>
      <c r="J10" s="19">
        <f>Assumptions!C41</f>
        <v>0.495</v>
      </c>
      <c r="K10" s="19">
        <f>Assumptions!C42</f>
        <v>0.59499999999999997</v>
      </c>
      <c r="L10" s="19">
        <f>Assumptions!C43</f>
        <v>0.69</v>
      </c>
      <c r="M10" s="19">
        <f>Assumptions!C44</f>
        <v>0.78500000000000003</v>
      </c>
      <c r="N10" s="19">
        <f>Assumptions!C45</f>
        <v>0.88500000000000001</v>
      </c>
      <c r="O10" s="19">
        <f>Assumptions!C46</f>
        <v>0.94899999999999995</v>
      </c>
      <c r="P10" s="19">
        <f>Assumptions!C47</f>
        <v>0.95</v>
      </c>
    </row>
    <row r="11" spans="2:18" x14ac:dyDescent="0.25">
      <c r="D11" t="s">
        <v>43</v>
      </c>
      <c r="E11" s="19">
        <f>Assumptions!$C$14</f>
        <v>0.8</v>
      </c>
      <c r="F11" s="19">
        <f>Assumptions!$C$14</f>
        <v>0.8</v>
      </c>
      <c r="G11" s="19">
        <f>Assumptions!$C$14</f>
        <v>0.8</v>
      </c>
      <c r="H11" s="19">
        <f>Assumptions!$C$14</f>
        <v>0.8</v>
      </c>
      <c r="I11" s="19">
        <f>Assumptions!$C$14</f>
        <v>0.8</v>
      </c>
      <c r="J11" s="19">
        <f>Assumptions!$C$14</f>
        <v>0.8</v>
      </c>
      <c r="K11" s="19">
        <f>Assumptions!$C$14</f>
        <v>0.8</v>
      </c>
      <c r="L11" s="19">
        <f>Assumptions!$C$14</f>
        <v>0.8</v>
      </c>
      <c r="M11" s="19">
        <f>Assumptions!$C$14</f>
        <v>0.8</v>
      </c>
      <c r="N11" s="19">
        <f>Assumptions!$C$14</f>
        <v>0.8</v>
      </c>
      <c r="O11" s="19">
        <f>Assumptions!$C$14</f>
        <v>0.8</v>
      </c>
      <c r="P11" s="19">
        <f>Assumptions!$C$14</f>
        <v>0.8</v>
      </c>
    </row>
    <row r="12" spans="2:18" x14ac:dyDescent="0.25">
      <c r="D12" t="s">
        <v>44</v>
      </c>
      <c r="E12" s="22">
        <f>Assumptions!$C$16</f>
        <v>65</v>
      </c>
      <c r="F12" s="22">
        <f>Assumptions!$C$16</f>
        <v>65</v>
      </c>
      <c r="G12" s="22">
        <f>Assumptions!$C$16</f>
        <v>65</v>
      </c>
      <c r="H12" s="22">
        <f>Assumptions!$C$16</f>
        <v>65</v>
      </c>
      <c r="I12" s="22">
        <f>Assumptions!$C$16</f>
        <v>65</v>
      </c>
      <c r="J12" s="22">
        <f>Assumptions!$C$16</f>
        <v>65</v>
      </c>
      <c r="K12" s="22">
        <f>Assumptions!$C$16</f>
        <v>65</v>
      </c>
      <c r="L12" s="22">
        <f>Assumptions!$C$16</f>
        <v>65</v>
      </c>
      <c r="M12" s="22">
        <f>Assumptions!$C$16</f>
        <v>65</v>
      </c>
      <c r="N12" s="22">
        <f>Assumptions!$C$16</f>
        <v>65</v>
      </c>
      <c r="O12" s="22">
        <f>Assumptions!$C$16</f>
        <v>65</v>
      </c>
      <c r="P12" s="22">
        <f>Assumptions!$C$16</f>
        <v>65</v>
      </c>
    </row>
    <row r="13" spans="2:18" x14ac:dyDescent="0.25">
      <c r="D13" t="s">
        <v>45</v>
      </c>
      <c r="E13" s="22">
        <f>E12-Assumptions!$C$9</f>
        <v>40</v>
      </c>
      <c r="F13" s="22">
        <f>F12-Assumptions!$C$9</f>
        <v>40</v>
      </c>
      <c r="G13" s="22">
        <f>G12-Assumptions!$C$9</f>
        <v>40</v>
      </c>
      <c r="H13" s="22">
        <f>H12-Assumptions!$C$9</f>
        <v>40</v>
      </c>
      <c r="I13" s="22">
        <f>I12-Assumptions!$C$9</f>
        <v>40</v>
      </c>
      <c r="J13" s="22">
        <f>J12-Assumptions!$C$9</f>
        <v>40</v>
      </c>
      <c r="K13" s="22">
        <f>K12-Assumptions!$C$9</f>
        <v>40</v>
      </c>
      <c r="L13" s="22">
        <f>L12-Assumptions!$C$9</f>
        <v>40</v>
      </c>
      <c r="M13" s="22">
        <f>M12-Assumptions!$C$9</f>
        <v>40</v>
      </c>
      <c r="N13" s="22">
        <f>N12-Assumptions!$C$9</f>
        <v>40</v>
      </c>
      <c r="O13" s="22">
        <f>O12-Assumptions!$C$9</f>
        <v>40</v>
      </c>
      <c r="P13" s="22">
        <f>P12-Assumptions!$C$9</f>
        <v>40</v>
      </c>
    </row>
    <row r="14" spans="2:18" x14ac:dyDescent="0.25">
      <c r="D14" t="s">
        <v>46</v>
      </c>
      <c r="E14" s="19">
        <f>Assumptions!$C$15</f>
        <v>0.2</v>
      </c>
      <c r="F14" s="19">
        <f>Assumptions!$C$15</f>
        <v>0.2</v>
      </c>
      <c r="G14" s="19">
        <f>Assumptions!$C$15</f>
        <v>0.2</v>
      </c>
      <c r="H14" s="19">
        <f>Assumptions!$C$15</f>
        <v>0.2</v>
      </c>
      <c r="I14" s="19">
        <f>Assumptions!$C$15</f>
        <v>0.2</v>
      </c>
      <c r="J14" s="19">
        <f>Assumptions!$C$15</f>
        <v>0.2</v>
      </c>
      <c r="K14" s="19">
        <f>Assumptions!$C$15</f>
        <v>0.2</v>
      </c>
      <c r="L14" s="19">
        <f>Assumptions!$C$15</f>
        <v>0.2</v>
      </c>
      <c r="M14" s="19">
        <f>Assumptions!$C$15</f>
        <v>0.2</v>
      </c>
      <c r="N14" s="19">
        <f>Assumptions!$C$15</f>
        <v>0.2</v>
      </c>
      <c r="O14" s="19">
        <f>Assumptions!$C$15</f>
        <v>0.2</v>
      </c>
      <c r="P14" s="19">
        <f>Assumptions!$C$15</f>
        <v>0.2</v>
      </c>
    </row>
    <row r="15" spans="2:18" x14ac:dyDescent="0.25">
      <c r="D15" t="s">
        <v>47</v>
      </c>
      <c r="E15" s="22">
        <f>Assumptions!$C$17*Assumptions!$C$8</f>
        <v>577.15</v>
      </c>
      <c r="F15" s="22">
        <f>Assumptions!$C$17*Assumptions!$C$8</f>
        <v>577.15</v>
      </c>
      <c r="G15" s="22">
        <f>Assumptions!$C$17*Assumptions!$C$8</f>
        <v>577.15</v>
      </c>
      <c r="H15" s="22">
        <f>Assumptions!$C$17*Assumptions!$C$8</f>
        <v>577.15</v>
      </c>
      <c r="I15" s="22">
        <f>Assumptions!$C$17*Assumptions!$C$8</f>
        <v>577.15</v>
      </c>
      <c r="J15" s="22">
        <f>Assumptions!$C$17*Assumptions!$C$8</f>
        <v>577.15</v>
      </c>
      <c r="K15" s="22">
        <f>Assumptions!$C$17*Assumptions!$C$8</f>
        <v>577.15</v>
      </c>
      <c r="L15" s="22">
        <f>Assumptions!$C$17*Assumptions!$C$8</f>
        <v>577.15</v>
      </c>
      <c r="M15" s="22">
        <f>Assumptions!$C$17*Assumptions!$C$8</f>
        <v>577.15</v>
      </c>
      <c r="N15" s="22">
        <f>Assumptions!$C$17*Assumptions!$C$8</f>
        <v>577.15</v>
      </c>
      <c r="O15" s="22">
        <f>Assumptions!$C$17*Assumptions!$C$8</f>
        <v>577.15</v>
      </c>
      <c r="P15" s="22">
        <f>Assumptions!$C$17*Assumptions!$C$8</f>
        <v>577.15</v>
      </c>
    </row>
    <row r="16" spans="2:18" x14ac:dyDescent="0.25">
      <c r="D16" t="s">
        <v>48</v>
      </c>
      <c r="E16" s="22">
        <f>E15-Assumptions!$C$9</f>
        <v>552.15</v>
      </c>
      <c r="F16" s="22">
        <f>F15-Assumptions!$C$9</f>
        <v>552.15</v>
      </c>
      <c r="G16" s="22">
        <f>G15-Assumptions!$C$9</f>
        <v>552.15</v>
      </c>
      <c r="H16" s="22">
        <f>H15-Assumptions!$C$9</f>
        <v>552.15</v>
      </c>
      <c r="I16" s="22">
        <f>I15-Assumptions!$C$9</f>
        <v>552.15</v>
      </c>
      <c r="J16" s="22">
        <f>J15-Assumptions!$C$9</f>
        <v>552.15</v>
      </c>
      <c r="K16" s="22">
        <f>K15-Assumptions!$C$9</f>
        <v>552.15</v>
      </c>
      <c r="L16" s="22">
        <f>L15-Assumptions!$C$9</f>
        <v>552.15</v>
      </c>
      <c r="M16" s="22">
        <f>M15-Assumptions!$C$9</f>
        <v>552.15</v>
      </c>
      <c r="N16" s="22">
        <f>N15-Assumptions!$C$9</f>
        <v>552.15</v>
      </c>
      <c r="O16" s="22">
        <f>O15-Assumptions!$C$9</f>
        <v>552.15</v>
      </c>
      <c r="P16" s="22">
        <f>P15-Assumptions!$C$9</f>
        <v>552.15</v>
      </c>
    </row>
    <row r="17" spans="4:18" x14ac:dyDescent="0.25">
      <c r="D17" t="s">
        <v>49</v>
      </c>
      <c r="E17" s="22">
        <f>Assumptions!$C$8-Assumptions!$C$9</f>
        <v>1624</v>
      </c>
      <c r="F17" s="22">
        <f>Assumptions!$C$8-Assumptions!$C$9</f>
        <v>1624</v>
      </c>
      <c r="G17" s="22">
        <f>Assumptions!$C$8-Assumptions!$C$9</f>
        <v>1624</v>
      </c>
      <c r="H17" s="22">
        <f>Assumptions!$C$8-Assumptions!$C$9</f>
        <v>1624</v>
      </c>
      <c r="I17" s="22">
        <f>Assumptions!$C$8-Assumptions!$C$9</f>
        <v>1624</v>
      </c>
      <c r="J17" s="22">
        <f>Assumptions!$C$8-Assumptions!$C$9</f>
        <v>1624</v>
      </c>
      <c r="K17" s="22">
        <f>Assumptions!$C$8-Assumptions!$C$9</f>
        <v>1624</v>
      </c>
      <c r="L17" s="22">
        <f>Assumptions!$C$8-Assumptions!$C$9</f>
        <v>1624</v>
      </c>
      <c r="M17" s="22">
        <f>Assumptions!$C$8-Assumptions!$C$9</f>
        <v>1624</v>
      </c>
      <c r="N17" s="22">
        <f>Assumptions!$C$8-Assumptions!$C$9</f>
        <v>1624</v>
      </c>
      <c r="O17" s="22">
        <f>Assumptions!$C$8-Assumptions!$C$9</f>
        <v>1624</v>
      </c>
      <c r="P17" s="22">
        <f>Assumptions!$C$8-Assumptions!$C$9</f>
        <v>1624</v>
      </c>
    </row>
    <row r="18" spans="4:18" x14ac:dyDescent="0.25">
      <c r="D18" s="2" t="s">
        <v>50</v>
      </c>
      <c r="E18" s="23">
        <f>((E11*E13/Assumptions!$C$8)+(E14*E16/Assumptions!$C$8))*E10+((1-E10)*E17/Assumptions!$C$8)</f>
        <v>0.95788532443905394</v>
      </c>
      <c r="F18" s="23">
        <f>((F11*F13/Assumptions!$C$8)+(F14*F16/Assumptions!$C$8))*F10+((1-F10)*F17/Assumptions!$C$8)</f>
        <v>0.88600806549423905</v>
      </c>
      <c r="G18" s="23">
        <f>((G11*G13/Assumptions!$C$8)+(G14*G16/Assumptions!$C$8))*G10+((1-G10)*G17/Assumptions!$C$8)</f>
        <v>0.80514614918132199</v>
      </c>
      <c r="H18" s="23">
        <f>((H11*H13/Assumptions!$C$8)+(H14*H16/Assumptions!$C$8))*H10+((1-H10)*H17/Assumptions!$C$8)</f>
        <v>0.71979190418435413</v>
      </c>
      <c r="I18" s="23">
        <f>((I11*I13/Assumptions!$C$8)+(I14*I16/Assumptions!$C$8))*I10+((1-I10)*I17/Assumptions!$C$8)</f>
        <v>0.62994533050333534</v>
      </c>
      <c r="J18" s="23">
        <f>((J11*J13/Assumptions!$C$8)+(J14*J16/Assumptions!$C$8))*J10+((1-J10)*J17/Assumptions!$C$8)</f>
        <v>0.54009875682231656</v>
      </c>
      <c r="K18" s="23">
        <f>((K11*K13/Assumptions!$C$8)+(K14*K16/Assumptions!$C$8))*K10+((1-K10)*K17/Assumptions!$C$8)</f>
        <v>0.45025218314129778</v>
      </c>
      <c r="L18" s="23">
        <f>((L11*L13/Assumptions!$C$8)+(L14*L16/Assumptions!$C$8))*L10+((1-L10)*L17/Assumptions!$C$8)</f>
        <v>0.36489793814432997</v>
      </c>
      <c r="M18" s="23">
        <f>((M11*M13/Assumptions!$C$8)+(M14*M16/Assumptions!$C$8))*M10+((1-M10)*M17/Assumptions!$C$8)</f>
        <v>0.27954369314736205</v>
      </c>
      <c r="N18" s="23">
        <f>((N11*N13/Assumptions!$C$8)+(N14*N16/Assumptions!$C$8))*N10+((1-N10)*N17/Assumptions!$C$8)</f>
        <v>0.18969711946634324</v>
      </c>
      <c r="O18" s="23">
        <f>((O11*O13/Assumptions!$C$8)+(O14*O16/Assumptions!$C$8))*O10+((1-O10)*O17/Assumptions!$C$8)</f>
        <v>0.13219531231049125</v>
      </c>
      <c r="P18" s="23">
        <f>((P11*P13/Assumptions!$C$8)+(P14*P16/Assumptions!$C$8))*P10+((1-P10)*P17/Assumptions!$C$8)</f>
        <v>0.13129684657368107</v>
      </c>
      <c r="Q18" s="23">
        <f>AVERAGE(E18:P18)</f>
        <v>0.50722988528401058</v>
      </c>
    </row>
    <row r="19" spans="4:18" x14ac:dyDescent="0.25">
      <c r="D19" t="s">
        <v>51</v>
      </c>
      <c r="E19" s="22">
        <f>E18*Assumptions!$C$8</f>
        <v>1579.5528999999999</v>
      </c>
      <c r="F19" s="22">
        <f>F18*Assumptions!$C$8</f>
        <v>1461.0273000000002</v>
      </c>
      <c r="G19" s="22">
        <f>G18*Assumptions!$C$8</f>
        <v>1327.6859999999999</v>
      </c>
      <c r="H19" s="22">
        <f>H18*Assumptions!$C$8</f>
        <v>1186.93685</v>
      </c>
      <c r="I19" s="22">
        <f>I18*Assumptions!$C$8</f>
        <v>1038.7798499999999</v>
      </c>
      <c r="J19" s="22">
        <f>J18*Assumptions!$C$8</f>
        <v>890.62284999999997</v>
      </c>
      <c r="K19" s="22">
        <f>K18*Assumptions!$C$8</f>
        <v>742.46585000000005</v>
      </c>
      <c r="L19" s="22">
        <f>L18*Assumptions!$C$8</f>
        <v>601.71670000000017</v>
      </c>
      <c r="M19" s="22">
        <f>M18*Assumptions!$C$8</f>
        <v>460.96755000000002</v>
      </c>
      <c r="N19" s="22">
        <f>N18*Assumptions!$C$8</f>
        <v>312.81054999999998</v>
      </c>
      <c r="O19" s="22">
        <f>O18*Assumptions!$C$8</f>
        <v>217.99007000000009</v>
      </c>
      <c r="P19" s="22">
        <f>P18*Assumptions!$C$8</f>
        <v>216.50850000000008</v>
      </c>
      <c r="Q19" s="22">
        <f>AVERAGE(E19:P19)</f>
        <v>836.42208083333333</v>
      </c>
    </row>
    <row r="20" spans="4:18" x14ac:dyDescent="0.25">
      <c r="D20" t="s">
        <v>52</v>
      </c>
      <c r="E20" s="22">
        <f>Assumptions!$C$18</f>
        <v>1764.175</v>
      </c>
      <c r="F20" s="22">
        <f>Assumptions!$C$18</f>
        <v>1764.175</v>
      </c>
      <c r="G20" s="22">
        <f>Assumptions!$C$18</f>
        <v>1764.175</v>
      </c>
      <c r="H20" s="22">
        <f>Assumptions!$C$18</f>
        <v>1764.175</v>
      </c>
      <c r="I20" s="22">
        <f>Assumptions!$C$18</f>
        <v>1764.175</v>
      </c>
      <c r="J20" s="22">
        <f>Assumptions!$C$18</f>
        <v>1764.175</v>
      </c>
      <c r="K20" s="22">
        <f>Assumptions!$C$18</f>
        <v>1764.175</v>
      </c>
      <c r="L20" s="22">
        <f>Assumptions!$C$18</f>
        <v>1764.175</v>
      </c>
      <c r="M20" s="22">
        <f>Assumptions!$C$18</f>
        <v>1764.175</v>
      </c>
      <c r="N20" s="22">
        <f>Assumptions!$C$18</f>
        <v>1764.175</v>
      </c>
      <c r="O20" s="22">
        <f>Assumptions!$C$18</f>
        <v>1764.175</v>
      </c>
      <c r="P20" s="22">
        <f>Assumptions!$C$18</f>
        <v>1764.175</v>
      </c>
    </row>
    <row r="21" spans="4:18" x14ac:dyDescent="0.25">
      <c r="D21" t="s">
        <v>7</v>
      </c>
      <c r="E21" s="19">
        <f>Assumptions!$C$10</f>
        <v>0.8</v>
      </c>
      <c r="F21" s="19">
        <f>Assumptions!$C$10</f>
        <v>0.8</v>
      </c>
      <c r="G21" s="19">
        <f>Assumptions!$C$10</f>
        <v>0.8</v>
      </c>
      <c r="H21" s="19">
        <f>Assumptions!$C$10</f>
        <v>0.8</v>
      </c>
      <c r="I21" s="19">
        <f>Assumptions!$C$10</f>
        <v>0.8</v>
      </c>
      <c r="J21" s="19">
        <f>Assumptions!$C$10</f>
        <v>0.8</v>
      </c>
      <c r="K21" s="19">
        <f>Assumptions!$C$10</f>
        <v>0.8</v>
      </c>
      <c r="L21" s="19">
        <f>Assumptions!$C$10</f>
        <v>0.8</v>
      </c>
      <c r="M21" s="19">
        <f>Assumptions!$C$10</f>
        <v>0.8</v>
      </c>
      <c r="N21" s="19">
        <f>Assumptions!$C$10</f>
        <v>0.8</v>
      </c>
      <c r="O21" s="19">
        <f>Assumptions!$C$10</f>
        <v>0.8</v>
      </c>
      <c r="P21" s="19">
        <f>Assumptions!$C$10</f>
        <v>0.8</v>
      </c>
    </row>
    <row r="22" spans="4:18" x14ac:dyDescent="0.25">
      <c r="D22" t="s">
        <v>3</v>
      </c>
      <c r="E22" s="22">
        <f>Assumptions!$C$8</f>
        <v>1649</v>
      </c>
      <c r="F22" s="22">
        <f>Assumptions!$C$8</f>
        <v>1649</v>
      </c>
      <c r="G22" s="22">
        <f>Assumptions!$C$8</f>
        <v>1649</v>
      </c>
      <c r="H22" s="22">
        <f>Assumptions!$C$8</f>
        <v>1649</v>
      </c>
      <c r="I22" s="22">
        <f>Assumptions!$C$8</f>
        <v>1649</v>
      </c>
      <c r="J22" s="22">
        <f>Assumptions!$C$8</f>
        <v>1649</v>
      </c>
      <c r="K22" s="22">
        <f>Assumptions!$C$8</f>
        <v>1649</v>
      </c>
      <c r="L22" s="22">
        <f>Assumptions!$C$8</f>
        <v>1649</v>
      </c>
      <c r="M22" s="22">
        <f>Assumptions!$C$8</f>
        <v>1649</v>
      </c>
      <c r="N22" s="22">
        <f>Assumptions!$C$8</f>
        <v>1649</v>
      </c>
      <c r="O22" s="22">
        <f>Assumptions!$C$8</f>
        <v>1649</v>
      </c>
      <c r="P22" s="22">
        <f>Assumptions!$C$8</f>
        <v>1649</v>
      </c>
    </row>
    <row r="23" spans="4:18" x14ac:dyDescent="0.25">
      <c r="D23" s="24" t="s">
        <v>53</v>
      </c>
      <c r="E23" s="25">
        <f t="shared" ref="E23:P23" si="1">E4*E21*E19</f>
        <v>0</v>
      </c>
      <c r="F23" s="25">
        <f>F4*F21*F19</f>
        <v>58709.921023200004</v>
      </c>
      <c r="G23" s="25">
        <f t="shared" si="1"/>
        <v>88986.826463999998</v>
      </c>
      <c r="H23" s="25">
        <f t="shared" si="1"/>
        <v>125169.61245360001</v>
      </c>
      <c r="I23" s="25">
        <f t="shared" si="1"/>
        <v>249897.19095479997</v>
      </c>
      <c r="J23" s="25">
        <f t="shared" si="1"/>
        <v>475250.60272559995</v>
      </c>
      <c r="K23" s="25">
        <f t="shared" si="1"/>
        <v>683698.19304080005</v>
      </c>
      <c r="L23" s="25">
        <f t="shared" si="1"/>
        <v>724616.13254160027</v>
      </c>
      <c r="M23" s="25">
        <f t="shared" si="1"/>
        <v>715502.76788880012</v>
      </c>
      <c r="N23" s="25">
        <f t="shared" si="1"/>
        <v>612853.42459119996</v>
      </c>
      <c r="O23" s="25">
        <f t="shared" si="1"/>
        <v>490407.90067760018</v>
      </c>
      <c r="P23" s="25">
        <f t="shared" si="1"/>
        <v>575509.03815600032</v>
      </c>
      <c r="Q23" s="25">
        <f>SUM(E23:P23)</f>
        <v>4800601.610517201</v>
      </c>
    </row>
    <row r="24" spans="4:18" x14ac:dyDescent="0.25">
      <c r="D24" s="24" t="s">
        <v>54</v>
      </c>
      <c r="E24" s="25">
        <f t="shared" ref="E24:P24" si="2">E5*E7*E21*E20</f>
        <v>0</v>
      </c>
      <c r="F24" s="25">
        <f t="shared" si="2"/>
        <v>87498.563712000003</v>
      </c>
      <c r="G24" s="25">
        <f t="shared" si="2"/>
        <v>140908.18560000003</v>
      </c>
      <c r="H24" s="25">
        <f t="shared" si="2"/>
        <v>212083.47313999999</v>
      </c>
      <c r="I24" s="25">
        <f t="shared" si="2"/>
        <v>268141.19227</v>
      </c>
      <c r="J24" s="25">
        <f t="shared" si="2"/>
        <v>258460.81120999999</v>
      </c>
      <c r="K24" s="25">
        <f t="shared" si="2"/>
        <v>247016.96082000001</v>
      </c>
      <c r="L24" s="25">
        <f t="shared" si="2"/>
        <v>316421.01666000002</v>
      </c>
      <c r="M24" s="25">
        <f t="shared" si="2"/>
        <v>444661.01441999996</v>
      </c>
      <c r="N24" s="25">
        <f t="shared" si="2"/>
        <v>242609.34600000002</v>
      </c>
      <c r="O24" s="25">
        <f t="shared" si="2"/>
        <v>357448.67046000005</v>
      </c>
      <c r="P24" s="25">
        <f t="shared" si="2"/>
        <v>457121.73528000002</v>
      </c>
      <c r="Q24" s="25">
        <f>SUM(E24:P24)</f>
        <v>3032370.9695720002</v>
      </c>
    </row>
    <row r="25" spans="4:18" ht="15.75" x14ac:dyDescent="0.25">
      <c r="D25" s="1" t="s">
        <v>55</v>
      </c>
      <c r="E25" s="26">
        <f t="shared" ref="E25:P25" si="3">E23+E24</f>
        <v>0</v>
      </c>
      <c r="F25" s="26">
        <f t="shared" si="3"/>
        <v>146208.48473520001</v>
      </c>
      <c r="G25" s="26">
        <f t="shared" si="3"/>
        <v>229895.01206400001</v>
      </c>
      <c r="H25" s="26">
        <f t="shared" si="3"/>
        <v>337253.0855936</v>
      </c>
      <c r="I25" s="26">
        <f t="shared" si="3"/>
        <v>518038.3832248</v>
      </c>
      <c r="J25" s="26">
        <f t="shared" si="3"/>
        <v>733711.41393559997</v>
      </c>
      <c r="K25" s="26">
        <f t="shared" si="3"/>
        <v>930715.15386080008</v>
      </c>
      <c r="L25" s="26">
        <f t="shared" si="3"/>
        <v>1041037.1492016003</v>
      </c>
      <c r="M25" s="26">
        <f t="shared" si="3"/>
        <v>1160163.7823088001</v>
      </c>
      <c r="N25" s="26">
        <f t="shared" si="3"/>
        <v>855462.77059119998</v>
      </c>
      <c r="O25" s="26">
        <f t="shared" si="3"/>
        <v>847856.57113760023</v>
      </c>
      <c r="P25" s="26">
        <f t="shared" si="3"/>
        <v>1032630.7734360003</v>
      </c>
      <c r="Q25" s="26">
        <f>SUM(E25:P25)</f>
        <v>7832972.5800892022</v>
      </c>
    </row>
    <row r="26" spans="4:18" x14ac:dyDescent="0.25">
      <c r="D26" s="2" t="s">
        <v>56</v>
      </c>
      <c r="E26" s="22">
        <f t="shared" ref="E26:P26" si="4">(E4+E5)*E22</f>
        <v>0</v>
      </c>
      <c r="F26" s="22">
        <f t="shared" si="4"/>
        <v>189321.69</v>
      </c>
      <c r="G26" s="22">
        <f t="shared" si="4"/>
        <v>309649.22000000003</v>
      </c>
      <c r="H26" s="22">
        <f t="shared" si="4"/>
        <v>478210</v>
      </c>
      <c r="I26" s="22">
        <f t="shared" si="4"/>
        <v>825654.29999999993</v>
      </c>
      <c r="J26" s="22">
        <f t="shared" si="4"/>
        <v>1417793.71</v>
      </c>
      <c r="K26" s="22">
        <f t="shared" si="4"/>
        <v>2218778.9699999997</v>
      </c>
      <c r="L26" s="22">
        <f t="shared" si="4"/>
        <v>2893038.58</v>
      </c>
      <c r="M26" s="22">
        <f t="shared" si="4"/>
        <v>3776688.21</v>
      </c>
      <c r="N26" s="22">
        <f t="shared" si="4"/>
        <v>4353327.0200000005</v>
      </c>
      <c r="O26" s="22">
        <f t="shared" si="4"/>
        <v>5101197.9899999993</v>
      </c>
      <c r="P26" s="22">
        <f t="shared" si="4"/>
        <v>6072524.9500000002</v>
      </c>
      <c r="Q26" s="22">
        <f>SUM(E26:P26)</f>
        <v>27636184.639999997</v>
      </c>
    </row>
    <row r="27" spans="4:18" ht="15.75" x14ac:dyDescent="0.25">
      <c r="D27" s="7" t="s">
        <v>57</v>
      </c>
      <c r="E27" s="27">
        <f t="shared" ref="E27:Q27" si="5">IFERROR(E25/E26,0)</f>
        <v>0</v>
      </c>
      <c r="F27" s="27">
        <f>IFERROR(F25/F26,0)</f>
        <v>0.77227540455190324</v>
      </c>
      <c r="G27" s="27">
        <f t="shared" si="5"/>
        <v>0.74243691640495646</v>
      </c>
      <c r="H27" s="27">
        <f t="shared" si="5"/>
        <v>0.70524055455469359</v>
      </c>
      <c r="I27" s="27">
        <f t="shared" si="5"/>
        <v>0.6274277057901837</v>
      </c>
      <c r="J27" s="27">
        <f t="shared" si="5"/>
        <v>0.51750223517044658</v>
      </c>
      <c r="K27" s="27">
        <f t="shared" si="5"/>
        <v>0.41947177544268871</v>
      </c>
      <c r="L27" s="27">
        <f t="shared" si="5"/>
        <v>0.35984212460851467</v>
      </c>
      <c r="M27" s="27">
        <f t="shared" si="5"/>
        <v>0.30719077609766471</v>
      </c>
      <c r="N27" s="27">
        <f t="shared" si="5"/>
        <v>0.1965078126823562</v>
      </c>
      <c r="O27" s="27">
        <f t="shared" si="5"/>
        <v>0.16620734439237092</v>
      </c>
      <c r="P27" s="27">
        <f t="shared" si="5"/>
        <v>0.17004965511685552</v>
      </c>
      <c r="Q27" s="27">
        <f t="shared" si="5"/>
        <v>0.28343176462759379</v>
      </c>
      <c r="R27" s="28"/>
    </row>
    <row r="28" spans="4:18" x14ac:dyDescent="0.25">
      <c r="D28" s="2" t="s">
        <v>58</v>
      </c>
      <c r="E28" s="22">
        <f t="shared" ref="E28:P28" si="6">E26-E25</f>
        <v>0</v>
      </c>
      <c r="F28" s="22">
        <f t="shared" si="6"/>
        <v>43113.205264799995</v>
      </c>
      <c r="G28" s="22">
        <f t="shared" si="6"/>
        <v>79754.207936000021</v>
      </c>
      <c r="H28" s="22">
        <f t="shared" si="6"/>
        <v>140956.9144064</v>
      </c>
      <c r="I28" s="22">
        <f t="shared" si="6"/>
        <v>307615.91677519993</v>
      </c>
      <c r="J28" s="22">
        <f t="shared" si="6"/>
        <v>684082.2960644</v>
      </c>
      <c r="K28" s="22">
        <f t="shared" si="6"/>
        <v>1288063.8161391998</v>
      </c>
      <c r="L28" s="22">
        <f t="shared" si="6"/>
        <v>1852001.4307983997</v>
      </c>
      <c r="M28" s="22">
        <f t="shared" si="6"/>
        <v>2616524.4276911998</v>
      </c>
      <c r="N28" s="22">
        <f t="shared" si="6"/>
        <v>3497864.2494088006</v>
      </c>
      <c r="O28" s="22">
        <f t="shared" si="6"/>
        <v>4253341.4188623987</v>
      </c>
      <c r="P28" s="22">
        <f t="shared" si="6"/>
        <v>5039894.1765639996</v>
      </c>
      <c r="Q28" s="22">
        <f>SUM(E28:P28)</f>
        <v>19803212.0599108</v>
      </c>
    </row>
    <row r="29" spans="4:18" x14ac:dyDescent="0.25">
      <c r="E29" s="22">
        <v>0</v>
      </c>
      <c r="F29" s="22">
        <v>43113.205264799995</v>
      </c>
      <c r="G29" s="22">
        <v>79754.207936000021</v>
      </c>
      <c r="H29" s="22">
        <v>140956.9144064</v>
      </c>
      <c r="I29" s="22">
        <v>307615.91677519993</v>
      </c>
      <c r="J29" s="22">
        <v>684082.2960644</v>
      </c>
      <c r="K29" s="22">
        <v>1288063.8161391998</v>
      </c>
      <c r="L29" s="22">
        <v>1852001.4307983997</v>
      </c>
      <c r="M29" s="22">
        <v>2616524.4276911998</v>
      </c>
      <c r="N29" s="22">
        <v>3497864.2494088006</v>
      </c>
      <c r="O29" s="22">
        <v>4253341.4188623987</v>
      </c>
      <c r="P29" s="22">
        <v>5039894.1765639996</v>
      </c>
      <c r="Q29" s="22">
        <f>+SUM(E29:P29)</f>
        <v>19803212.0599108</v>
      </c>
    </row>
    <row r="30" spans="4:18" x14ac:dyDescent="0.25">
      <c r="D30" t="s">
        <v>141</v>
      </c>
      <c r="E30" s="22">
        <f>+E28-E29</f>
        <v>0</v>
      </c>
      <c r="F30" s="22">
        <f t="shared" ref="F30:Q30" si="7">+F28-F29</f>
        <v>0</v>
      </c>
      <c r="G30" s="22">
        <f t="shared" si="7"/>
        <v>0</v>
      </c>
      <c r="H30" s="22">
        <f t="shared" si="7"/>
        <v>0</v>
      </c>
      <c r="I30" s="22">
        <f t="shared" si="7"/>
        <v>0</v>
      </c>
      <c r="J30" s="22">
        <f t="shared" si="7"/>
        <v>0</v>
      </c>
      <c r="K30" s="22">
        <f t="shared" si="7"/>
        <v>0</v>
      </c>
      <c r="L30" s="22">
        <f t="shared" si="7"/>
        <v>0</v>
      </c>
      <c r="M30" s="22">
        <f t="shared" si="7"/>
        <v>0</v>
      </c>
      <c r="N30" s="22">
        <f t="shared" si="7"/>
        <v>0</v>
      </c>
      <c r="O30" s="22">
        <f t="shared" si="7"/>
        <v>0</v>
      </c>
      <c r="P30" s="22">
        <f t="shared" si="7"/>
        <v>0</v>
      </c>
      <c r="Q30" s="22">
        <f t="shared" si="7"/>
        <v>0</v>
      </c>
    </row>
  </sheetData>
  <mergeCells count="1">
    <mergeCell ref="E2:P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H26"/>
  <sheetViews>
    <sheetView workbookViewId="0">
      <selection activeCell="S24" sqref="S24"/>
    </sheetView>
  </sheetViews>
  <sheetFormatPr defaultRowHeight="15" x14ac:dyDescent="0.25"/>
  <cols>
    <col min="1" max="1" width="20" customWidth="1"/>
    <col min="2" max="2" width="12" customWidth="1"/>
    <col min="3" max="6" width="15" customWidth="1"/>
  </cols>
  <sheetData>
    <row r="4" spans="1:8" ht="23.25" x14ac:dyDescent="0.35">
      <c r="A4" s="73"/>
      <c r="B4" s="74"/>
      <c r="C4" s="74"/>
      <c r="D4" s="74"/>
      <c r="E4" s="74"/>
      <c r="F4" s="74"/>
      <c r="G4" s="74"/>
      <c r="H4" s="74"/>
    </row>
    <row r="6" spans="1:8" x14ac:dyDescent="0.25">
      <c r="A6" s="29" t="s">
        <v>59</v>
      </c>
      <c r="B6" s="29" t="s">
        <v>60</v>
      </c>
      <c r="C6" s="29" t="s">
        <v>61</v>
      </c>
      <c r="D6" s="29" t="s">
        <v>62</v>
      </c>
      <c r="E6" s="29" t="s">
        <v>63</v>
      </c>
      <c r="F6" s="29" t="s">
        <v>64</v>
      </c>
    </row>
    <row r="7" spans="1:8" x14ac:dyDescent="0.25">
      <c r="A7" t="s">
        <v>19</v>
      </c>
      <c r="B7" s="23">
        <f>Model!E27</f>
        <v>0</v>
      </c>
      <c r="C7" s="19">
        <f>Model!E6</f>
        <v>0</v>
      </c>
      <c r="D7" s="22">
        <f>Model!E23</f>
        <v>0</v>
      </c>
      <c r="E7" s="22">
        <f>Model!E24</f>
        <v>0</v>
      </c>
      <c r="F7" s="22">
        <f>Model!E25</f>
        <v>0</v>
      </c>
    </row>
    <row r="8" spans="1:8" x14ac:dyDescent="0.25">
      <c r="A8" t="s">
        <v>20</v>
      </c>
      <c r="B8" s="23">
        <f>Model!F27</f>
        <v>0.77227540455190324</v>
      </c>
      <c r="C8" s="19">
        <f>Model!F6</f>
        <v>0</v>
      </c>
      <c r="D8" s="22">
        <f>Model!F23</f>
        <v>58709.921023200004</v>
      </c>
      <c r="E8" s="22">
        <f>Model!F24</f>
        <v>87498.563712000003</v>
      </c>
      <c r="F8" s="22">
        <f>Model!F25</f>
        <v>146208.48473520001</v>
      </c>
    </row>
    <row r="9" spans="1:8" x14ac:dyDescent="0.25">
      <c r="A9" t="s">
        <v>21</v>
      </c>
      <c r="B9" s="23">
        <f>Model!G27</f>
        <v>0.74243691640495646</v>
      </c>
      <c r="C9" s="19">
        <f>Model!G6</f>
        <v>0</v>
      </c>
      <c r="D9" s="22">
        <f>Model!G23</f>
        <v>88986.826463999998</v>
      </c>
      <c r="E9" s="22">
        <f>Model!G24</f>
        <v>140908.18560000003</v>
      </c>
      <c r="F9" s="22">
        <f>Model!G25</f>
        <v>229895.01206400001</v>
      </c>
    </row>
    <row r="10" spans="1:8" x14ac:dyDescent="0.25">
      <c r="A10" t="s">
        <v>22</v>
      </c>
      <c r="B10" s="23">
        <f>Model!H27</f>
        <v>0.70524055455469359</v>
      </c>
      <c r="C10" s="19">
        <f>Model!H6</f>
        <v>0.06</v>
      </c>
      <c r="D10" s="22">
        <f>Model!H23</f>
        <v>125169.61245360001</v>
      </c>
      <c r="E10" s="22">
        <f>Model!H24</f>
        <v>212083.47313999999</v>
      </c>
      <c r="F10" s="22">
        <f>Model!H25</f>
        <v>337253.0855936</v>
      </c>
    </row>
    <row r="11" spans="1:8" x14ac:dyDescent="0.25">
      <c r="A11" t="s">
        <v>23</v>
      </c>
      <c r="B11" s="23">
        <f>Model!I27</f>
        <v>0.6274277057901837</v>
      </c>
      <c r="C11" s="19">
        <f>Model!I6</f>
        <v>0.11</v>
      </c>
      <c r="D11" s="22">
        <f>Model!I23</f>
        <v>249897.19095479997</v>
      </c>
      <c r="E11" s="22">
        <f>Model!I24</f>
        <v>268141.19227</v>
      </c>
      <c r="F11" s="22">
        <f>Model!I25</f>
        <v>518038.3832248</v>
      </c>
    </row>
    <row r="12" spans="1:8" x14ac:dyDescent="0.25">
      <c r="A12" t="s">
        <v>24</v>
      </c>
      <c r="B12" s="23">
        <f>Model!J27</f>
        <v>0.51750223517044658</v>
      </c>
      <c r="C12" s="19">
        <f>Model!J6</f>
        <v>0.28999999999999998</v>
      </c>
      <c r="D12" s="22">
        <f>Model!J23</f>
        <v>475250.60272559995</v>
      </c>
      <c r="E12" s="22">
        <f>Model!J24</f>
        <v>258460.81120999999</v>
      </c>
      <c r="F12" s="22">
        <f>Model!J25</f>
        <v>733711.41393559997</v>
      </c>
    </row>
    <row r="13" spans="1:8" x14ac:dyDescent="0.25">
      <c r="A13" t="s">
        <v>25</v>
      </c>
      <c r="B13" s="23">
        <f>Model!K27</f>
        <v>0.41947177544268871</v>
      </c>
      <c r="C13" s="19">
        <f>Model!K6</f>
        <v>0.44</v>
      </c>
      <c r="D13" s="22">
        <f>Model!K23</f>
        <v>683698.19304080005</v>
      </c>
      <c r="E13" s="22">
        <f>Model!K24</f>
        <v>247016.96082000001</v>
      </c>
      <c r="F13" s="22">
        <f>Model!K25</f>
        <v>930715.15386080008</v>
      </c>
    </row>
    <row r="14" spans="1:8" x14ac:dyDescent="0.25">
      <c r="A14" t="s">
        <v>26</v>
      </c>
      <c r="B14" s="23">
        <f>Model!L27</f>
        <v>0.35984212460851467</v>
      </c>
      <c r="C14" s="19">
        <f>Model!L6</f>
        <v>0.52</v>
      </c>
      <c r="D14" s="22">
        <f>Model!L23</f>
        <v>724616.13254160027</v>
      </c>
      <c r="E14" s="22">
        <f>Model!L24</f>
        <v>316421.01666000002</v>
      </c>
      <c r="F14" s="22">
        <f>Model!L25</f>
        <v>1041037.1492016003</v>
      </c>
    </row>
    <row r="15" spans="1:8" x14ac:dyDescent="0.25">
      <c r="A15" t="s">
        <v>27</v>
      </c>
      <c r="B15" s="23">
        <f>Model!M27</f>
        <v>0.30719077609766471</v>
      </c>
      <c r="C15" s="19">
        <f>Model!M6</f>
        <v>0.57999999999999996</v>
      </c>
      <c r="D15" s="22">
        <f>Model!M23</f>
        <v>715502.76788880012</v>
      </c>
      <c r="E15" s="22">
        <f>Model!M24</f>
        <v>444661.01441999996</v>
      </c>
      <c r="F15" s="22">
        <f>Model!M25</f>
        <v>1160163.7823088001</v>
      </c>
    </row>
    <row r="16" spans="1:8" x14ac:dyDescent="0.25">
      <c r="A16" t="s">
        <v>28</v>
      </c>
      <c r="B16" s="23">
        <f>Model!N27</f>
        <v>0.1965078126823562</v>
      </c>
      <c r="C16" s="19">
        <f>Model!N6</f>
        <v>0.57999999999999996</v>
      </c>
      <c r="D16" s="22">
        <f>Model!N23</f>
        <v>612853.42459119996</v>
      </c>
      <c r="E16" s="22">
        <f>Model!N24</f>
        <v>242609.34600000002</v>
      </c>
      <c r="F16" s="22">
        <f>Model!N25</f>
        <v>855462.77059119998</v>
      </c>
    </row>
    <row r="17" spans="1:6" x14ac:dyDescent="0.25">
      <c r="A17" t="s">
        <v>29</v>
      </c>
      <c r="B17" s="23">
        <f>Model!O27</f>
        <v>0.16620734439237092</v>
      </c>
      <c r="C17" s="19">
        <f>Model!O6</f>
        <v>0.57999999999999996</v>
      </c>
      <c r="D17" s="22">
        <f>Model!O23</f>
        <v>490407.90067760018</v>
      </c>
      <c r="E17" s="22">
        <f>Model!O24</f>
        <v>357448.67046000005</v>
      </c>
      <c r="F17" s="22">
        <f>Model!O25</f>
        <v>847856.57113760023</v>
      </c>
    </row>
    <row r="18" spans="1:6" x14ac:dyDescent="0.25">
      <c r="A18" t="s">
        <v>30</v>
      </c>
      <c r="B18" s="23">
        <f>Model!P27</f>
        <v>0.17004965511685552</v>
      </c>
      <c r="C18" s="19">
        <f>Model!P6</f>
        <v>0.57999999999999996</v>
      </c>
      <c r="D18" s="22">
        <f>Model!P23</f>
        <v>575509.03815600032</v>
      </c>
      <c r="E18" s="22">
        <f>Model!P24</f>
        <v>457121.73528000002</v>
      </c>
      <c r="F18" s="22">
        <f>Model!P25</f>
        <v>1032630.7734360003</v>
      </c>
    </row>
    <row r="21" spans="1:6" ht="15.75" x14ac:dyDescent="0.25">
      <c r="A21" s="75" t="s">
        <v>65</v>
      </c>
      <c r="B21" s="74"/>
      <c r="C21" s="74"/>
      <c r="D21" s="74"/>
      <c r="E21" s="74"/>
    </row>
    <row r="22" spans="1:6" ht="18.75" x14ac:dyDescent="0.3">
      <c r="A22" t="s">
        <v>66</v>
      </c>
      <c r="C22" s="30">
        <f>Model!Q27</f>
        <v>0.28343176462759379</v>
      </c>
    </row>
    <row r="23" spans="1:6" x14ac:dyDescent="0.25">
      <c r="A23" t="s">
        <v>67</v>
      </c>
      <c r="C23" s="22">
        <f>Model!Q25</f>
        <v>7832972.5800892022</v>
      </c>
    </row>
    <row r="24" spans="1:6" x14ac:dyDescent="0.25">
      <c r="A24" t="s">
        <v>68</v>
      </c>
      <c r="C24" s="22">
        <f>Model!Q23</f>
        <v>4800601.610517201</v>
      </c>
    </row>
    <row r="25" spans="1:6" x14ac:dyDescent="0.25">
      <c r="A25" t="s">
        <v>69</v>
      </c>
      <c r="C25" s="22">
        <f>Model!Q24</f>
        <v>3032370.9695720002</v>
      </c>
    </row>
    <row r="26" spans="1:6" x14ac:dyDescent="0.25">
      <c r="A26" t="s">
        <v>70</v>
      </c>
      <c r="C26" s="19">
        <f>AVERAGE(Model!E6:P6)</f>
        <v>0.3116666666666667</v>
      </c>
    </row>
  </sheetData>
  <mergeCells count="2">
    <mergeCell ref="A21:E21"/>
    <mergeCell ref="A4:H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Q76"/>
  <sheetViews>
    <sheetView workbookViewId="0">
      <selection activeCell="E21" sqref="E21"/>
    </sheetView>
  </sheetViews>
  <sheetFormatPr defaultRowHeight="15" x14ac:dyDescent="0.25"/>
  <cols>
    <col min="1" max="1" width="21.5703125" customWidth="1"/>
    <col min="2" max="2" width="10.140625" bestFit="1" customWidth="1"/>
    <col min="3" max="3" width="34.42578125" customWidth="1"/>
    <col min="4" max="4" width="31.5703125" bestFit="1" customWidth="1"/>
    <col min="5" max="16" width="11" customWidth="1"/>
    <col min="17" max="17" width="12.42578125" bestFit="1" customWidth="1"/>
  </cols>
  <sheetData>
    <row r="4" spans="1:17" ht="23.25" x14ac:dyDescent="0.35">
      <c r="A4" s="73" t="s">
        <v>71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</row>
    <row r="5" spans="1:17" x14ac:dyDescent="0.25">
      <c r="A5" s="77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</row>
    <row r="7" spans="1:17" ht="15.75" x14ac:dyDescent="0.25">
      <c r="D7" s="80" t="s">
        <v>72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</row>
    <row r="8" spans="1:17" ht="15.75" x14ac:dyDescent="0.25">
      <c r="E8" s="13" t="s">
        <v>19</v>
      </c>
      <c r="F8" s="13" t="s">
        <v>20</v>
      </c>
      <c r="G8" s="13" t="s">
        <v>21</v>
      </c>
      <c r="H8" s="13" t="s">
        <v>22</v>
      </c>
      <c r="I8" s="13" t="s">
        <v>23</v>
      </c>
      <c r="J8" s="13" t="s">
        <v>24</v>
      </c>
      <c r="K8" s="13" t="s">
        <v>25</v>
      </c>
      <c r="L8" s="13" t="s">
        <v>26</v>
      </c>
      <c r="M8" s="13" t="s">
        <v>27</v>
      </c>
      <c r="N8" s="13" t="s">
        <v>28</v>
      </c>
      <c r="O8" s="13" t="s">
        <v>29</v>
      </c>
      <c r="P8" s="13" t="s">
        <v>30</v>
      </c>
      <c r="Q8" s="13" t="s">
        <v>34</v>
      </c>
    </row>
    <row r="10" spans="1:17" ht="15.75" x14ac:dyDescent="0.25">
      <c r="A10" s="83" t="s">
        <v>147</v>
      </c>
      <c r="B10" s="74"/>
      <c r="C10" s="74"/>
    </row>
    <row r="11" spans="1:17" x14ac:dyDescent="0.25">
      <c r="D11" s="2" t="s">
        <v>73</v>
      </c>
      <c r="E11" s="43">
        <f>'exFactory Demand Model'!G4</f>
        <v>474</v>
      </c>
      <c r="F11" s="43">
        <f>'exFactory Demand Model'!G5</f>
        <v>0</v>
      </c>
      <c r="G11" s="43">
        <f>'exFactory Demand Model'!G6</f>
        <v>478</v>
      </c>
      <c r="H11" s="43">
        <f>'exFactory Demand Model'!G7</f>
        <v>843</v>
      </c>
      <c r="I11" s="43">
        <f>'exFactory Demand Model'!G8</f>
        <v>1591</v>
      </c>
      <c r="J11" s="43">
        <f>'exFactory Demand Model'!G9</f>
        <v>1846.75</v>
      </c>
      <c r="K11" s="43">
        <f>'exFactory Demand Model'!G10</f>
        <v>4069.75</v>
      </c>
      <c r="L11" s="43">
        <f>'exFactory Demand Model'!G11</f>
        <v>3562.5</v>
      </c>
      <c r="M11" s="43">
        <f>'exFactory Demand Model'!G12</f>
        <v>5255.5</v>
      </c>
      <c r="N11" s="43">
        <f>'exFactory Demand Model'!G13</f>
        <v>4858.5</v>
      </c>
      <c r="O11" s="43">
        <f>'exFactory Demand Model'!G14</f>
        <v>6961.25</v>
      </c>
      <c r="P11" s="43">
        <f>'exFactory Demand Model'!G15</f>
        <v>6444.75</v>
      </c>
      <c r="Q11" s="16">
        <f>SUM(E11:P11)</f>
        <v>36385</v>
      </c>
    </row>
    <row r="12" spans="1:17" x14ac:dyDescent="0.25">
      <c r="D12" s="2" t="s">
        <v>3</v>
      </c>
      <c r="E12" s="22">
        <f>Assumptions!$C$8</f>
        <v>1649</v>
      </c>
      <c r="F12" s="22">
        <f>Assumptions!$C$8</f>
        <v>1649</v>
      </c>
      <c r="G12" s="22">
        <f>Assumptions!$C$8</f>
        <v>1649</v>
      </c>
      <c r="H12" s="22">
        <f>Assumptions!$C$8</f>
        <v>1649</v>
      </c>
      <c r="I12" s="22">
        <f>Assumptions!$C$8</f>
        <v>1649</v>
      </c>
      <c r="J12" s="22">
        <f>Assumptions!$C$8</f>
        <v>1649</v>
      </c>
      <c r="K12" s="22">
        <f>Assumptions!$C$8</f>
        <v>1649</v>
      </c>
      <c r="L12" s="22">
        <f>Assumptions!$C$8</f>
        <v>1649</v>
      </c>
      <c r="M12" s="22">
        <f>Assumptions!$C$8</f>
        <v>1649</v>
      </c>
      <c r="N12" s="22">
        <f>Assumptions!$C$8</f>
        <v>1649</v>
      </c>
      <c r="O12" s="22">
        <f>Assumptions!$C$8</f>
        <v>1649</v>
      </c>
      <c r="P12" s="22">
        <f>Assumptions!$C$8</f>
        <v>1649</v>
      </c>
    </row>
    <row r="13" spans="1:17" x14ac:dyDescent="0.25">
      <c r="D13" s="17" t="s">
        <v>74</v>
      </c>
      <c r="E13" s="44">
        <f t="shared" ref="E13:P13" si="0">E11*E12</f>
        <v>781626</v>
      </c>
      <c r="F13" s="44">
        <f t="shared" si="0"/>
        <v>0</v>
      </c>
      <c r="G13" s="44">
        <f t="shared" si="0"/>
        <v>788222</v>
      </c>
      <c r="H13" s="44">
        <f t="shared" si="0"/>
        <v>1390107</v>
      </c>
      <c r="I13" s="44">
        <f t="shared" si="0"/>
        <v>2623559</v>
      </c>
      <c r="J13" s="44">
        <f t="shared" si="0"/>
        <v>3045290.75</v>
      </c>
      <c r="K13" s="44">
        <f t="shared" si="0"/>
        <v>6711017.75</v>
      </c>
      <c r="L13" s="44">
        <f t="shared" si="0"/>
        <v>5874562.5</v>
      </c>
      <c r="M13" s="44">
        <f t="shared" si="0"/>
        <v>8666319.5</v>
      </c>
      <c r="N13" s="44">
        <f t="shared" si="0"/>
        <v>8011666.5</v>
      </c>
      <c r="O13" s="44">
        <f t="shared" si="0"/>
        <v>11479101.25</v>
      </c>
      <c r="P13" s="44">
        <f t="shared" si="0"/>
        <v>10627392.75</v>
      </c>
      <c r="Q13" s="45">
        <f>SUM(E13:P13)</f>
        <v>59998865</v>
      </c>
    </row>
    <row r="15" spans="1:17" x14ac:dyDescent="0.25">
      <c r="D15" s="2" t="s">
        <v>75</v>
      </c>
      <c r="E15" s="46">
        <v>0</v>
      </c>
      <c r="F15" s="46">
        <v>130</v>
      </c>
      <c r="G15" s="46">
        <v>246</v>
      </c>
      <c r="H15" s="46">
        <v>445</v>
      </c>
      <c r="I15" s="46">
        <v>827</v>
      </c>
      <c r="J15" s="46">
        <v>1273</v>
      </c>
      <c r="K15" s="46">
        <v>2290</v>
      </c>
      <c r="L15" s="46">
        <v>3028</v>
      </c>
      <c r="M15" s="46">
        <v>3919</v>
      </c>
      <c r="N15" s="46">
        <v>4772</v>
      </c>
      <c r="O15" s="46">
        <v>5745</v>
      </c>
      <c r="P15" s="46">
        <v>6813</v>
      </c>
      <c r="Q15" s="16">
        <f>SUM(E15:P15)</f>
        <v>29488</v>
      </c>
    </row>
    <row r="16" spans="1:17" x14ac:dyDescent="0.25">
      <c r="D16" s="2" t="s">
        <v>76</v>
      </c>
      <c r="E16" s="47">
        <v>0</v>
      </c>
      <c r="F16" s="47">
        <v>2</v>
      </c>
      <c r="G16" s="47">
        <v>2</v>
      </c>
      <c r="H16" s="47">
        <v>2</v>
      </c>
      <c r="I16" s="47">
        <v>2</v>
      </c>
      <c r="J16" s="47">
        <v>1.75</v>
      </c>
      <c r="K16" s="47">
        <v>1.75</v>
      </c>
      <c r="L16" s="47">
        <v>1.5</v>
      </c>
      <c r="M16" s="47">
        <v>1.5</v>
      </c>
      <c r="N16" s="47">
        <v>1.25</v>
      </c>
      <c r="O16" s="47">
        <v>1.25</v>
      </c>
      <c r="P16" s="47">
        <v>1</v>
      </c>
    </row>
    <row r="17" spans="1:17" x14ac:dyDescent="0.25">
      <c r="D17" s="2" t="s">
        <v>77</v>
      </c>
      <c r="E17" s="16">
        <f t="shared" ref="E17:P17" si="1">E15*E16</f>
        <v>0</v>
      </c>
      <c r="F17" s="16">
        <f t="shared" si="1"/>
        <v>260</v>
      </c>
      <c r="G17" s="16">
        <f t="shared" si="1"/>
        <v>492</v>
      </c>
      <c r="H17" s="16">
        <f t="shared" si="1"/>
        <v>890</v>
      </c>
      <c r="I17" s="16">
        <f t="shared" si="1"/>
        <v>1654</v>
      </c>
      <c r="J17" s="16">
        <f t="shared" si="1"/>
        <v>2227.75</v>
      </c>
      <c r="K17" s="16">
        <f t="shared" si="1"/>
        <v>4007.5</v>
      </c>
      <c r="L17" s="16">
        <f t="shared" si="1"/>
        <v>4542</v>
      </c>
      <c r="M17" s="16">
        <f t="shared" si="1"/>
        <v>5878.5</v>
      </c>
      <c r="N17" s="16">
        <f t="shared" si="1"/>
        <v>5965</v>
      </c>
      <c r="O17" s="16">
        <f t="shared" si="1"/>
        <v>7181.25</v>
      </c>
      <c r="P17" s="16">
        <f t="shared" si="1"/>
        <v>6813</v>
      </c>
    </row>
    <row r="18" spans="1:17" x14ac:dyDescent="0.25">
      <c r="D18" s="2" t="s">
        <v>78</v>
      </c>
      <c r="E18" s="48">
        <f>IFERROR(E11/E15,0)</f>
        <v>0</v>
      </c>
      <c r="F18" s="48">
        <f t="shared" ref="F18:Q18" si="2">IFERROR(F11/F15,0)</f>
        <v>0</v>
      </c>
      <c r="G18" s="48">
        <f>IFERROR(G11/G15,0)</f>
        <v>1.943089430894309</v>
      </c>
      <c r="H18" s="48">
        <f t="shared" si="2"/>
        <v>1.8943820224719101</v>
      </c>
      <c r="I18" s="48">
        <f t="shared" si="2"/>
        <v>1.9238210399032649</v>
      </c>
      <c r="J18" s="48">
        <f>IFERROR(J11/J15,0)</f>
        <v>1.4507069913589945</v>
      </c>
      <c r="K18" s="48">
        <f t="shared" si="2"/>
        <v>1.7771834061135372</v>
      </c>
      <c r="L18" s="48">
        <f t="shared" si="2"/>
        <v>1.1765191545574636</v>
      </c>
      <c r="M18" s="48">
        <f t="shared" si="2"/>
        <v>1.3410308752232711</v>
      </c>
      <c r="N18" s="48">
        <f t="shared" si="2"/>
        <v>1.0181265716680636</v>
      </c>
      <c r="O18" s="48">
        <f t="shared" si="2"/>
        <v>1.2117058311575284</v>
      </c>
      <c r="P18" s="48">
        <f>IFERROR(P11/P15,0)</f>
        <v>0.94594892118009688</v>
      </c>
      <c r="Q18" s="48">
        <f t="shared" si="2"/>
        <v>1.2338917525773196</v>
      </c>
    </row>
    <row r="20" spans="1:17" ht="15.75" x14ac:dyDescent="0.25">
      <c r="A20" s="78" t="s">
        <v>79</v>
      </c>
      <c r="B20" s="74"/>
      <c r="C20" s="74"/>
    </row>
    <row r="21" spans="1:17" x14ac:dyDescent="0.25">
      <c r="D21" s="2" t="s">
        <v>80</v>
      </c>
      <c r="E21" s="23">
        <f>Model!E27</f>
        <v>0</v>
      </c>
      <c r="F21" s="23">
        <f>Model!F27</f>
        <v>0.77227540455190324</v>
      </c>
      <c r="G21" s="23">
        <f>Model!G27</f>
        <v>0.74243691640495646</v>
      </c>
      <c r="H21" s="23">
        <f>Model!H27</f>
        <v>0.70524055455469359</v>
      </c>
      <c r="I21" s="23">
        <f>Model!I27</f>
        <v>0.6274277057901837</v>
      </c>
      <c r="J21" s="23">
        <f>Model!J27</f>
        <v>0.51750223517044658</v>
      </c>
      <c r="K21" s="23">
        <f>Model!K27</f>
        <v>0.41947177544268871</v>
      </c>
      <c r="L21" s="23">
        <f>Model!L27</f>
        <v>0.35984212460851467</v>
      </c>
      <c r="M21" s="23">
        <f>Model!M27</f>
        <v>0.30719077609766471</v>
      </c>
      <c r="N21" s="23">
        <f>Model!N27</f>
        <v>0.1965078126823562</v>
      </c>
      <c r="O21" s="23">
        <f>Model!O27</f>
        <v>0.16620734439237092</v>
      </c>
      <c r="P21" s="23">
        <f>Model!P27</f>
        <v>0.17004965511685552</v>
      </c>
      <c r="Q21" s="23">
        <f>Model!Q27</f>
        <v>0.28343176462759379</v>
      </c>
    </row>
    <row r="22" spans="1:17" ht="15.75" x14ac:dyDescent="0.25">
      <c r="D22" s="49" t="s">
        <v>81</v>
      </c>
      <c r="E22" s="50">
        <f t="shared" ref="E22:P22" si="3">E13*E21</f>
        <v>0</v>
      </c>
      <c r="F22" s="50">
        <f>F13*F21</f>
        <v>0</v>
      </c>
      <c r="G22" s="50">
        <f t="shared" si="3"/>
        <v>585205.11112254753</v>
      </c>
      <c r="H22" s="50">
        <f t="shared" si="3"/>
        <v>980359.83157036139</v>
      </c>
      <c r="I22" s="50">
        <f t="shared" si="3"/>
        <v>1646093.6043751885</v>
      </c>
      <c r="J22" s="50">
        <f t="shared" si="3"/>
        <v>1575944.7698688856</v>
      </c>
      <c r="K22" s="50">
        <f t="shared" si="3"/>
        <v>2815082.5306198979</v>
      </c>
      <c r="L22" s="50">
        <f t="shared" si="3"/>
        <v>2113915.0511455075</v>
      </c>
      <c r="M22" s="50">
        <f t="shared" si="3"/>
        <v>2662213.4131153254</v>
      </c>
      <c r="N22" s="50">
        <f t="shared" si="3"/>
        <v>1574355.0598555084</v>
      </c>
      <c r="O22" s="50">
        <f t="shared" si="3"/>
        <v>1907910.9347736456</v>
      </c>
      <c r="P22" s="50">
        <f t="shared" si="3"/>
        <v>1807184.4719288708</v>
      </c>
      <c r="Q22" s="51">
        <f>SUM(E22:P22)</f>
        <v>17668264.778375737</v>
      </c>
    </row>
    <row r="23" spans="1:17" x14ac:dyDescent="0.25">
      <c r="D23" s="2" t="s">
        <v>82</v>
      </c>
      <c r="E23" s="22">
        <f>E13-E22</f>
        <v>781626</v>
      </c>
      <c r="F23" s="22">
        <f t="shared" ref="F23:P23" si="4">F13-F22</f>
        <v>0</v>
      </c>
      <c r="G23" s="22">
        <f t="shared" si="4"/>
        <v>203016.88887745247</v>
      </c>
      <c r="H23" s="22">
        <f t="shared" si="4"/>
        <v>409747.16842963861</v>
      </c>
      <c r="I23" s="22">
        <f t="shared" si="4"/>
        <v>977465.39562481153</v>
      </c>
      <c r="J23" s="22">
        <f t="shared" si="4"/>
        <v>1469345.9801311144</v>
      </c>
      <c r="K23" s="22">
        <f t="shared" si="4"/>
        <v>3895935.2193801021</v>
      </c>
      <c r="L23" s="22">
        <f t="shared" si="4"/>
        <v>3760647.4488544925</v>
      </c>
      <c r="M23" s="22">
        <f t="shared" si="4"/>
        <v>6004106.0868846746</v>
      </c>
      <c r="N23" s="22">
        <f t="shared" si="4"/>
        <v>6437311.4401444914</v>
      </c>
      <c r="O23" s="22">
        <f t="shared" si="4"/>
        <v>9571190.3152263537</v>
      </c>
      <c r="P23" s="22">
        <f t="shared" si="4"/>
        <v>8820208.2780711297</v>
      </c>
      <c r="Q23" s="52">
        <f>SUM(E23:P23)</f>
        <v>42330600.221624263</v>
      </c>
    </row>
    <row r="26" spans="1:17" x14ac:dyDescent="0.25">
      <c r="A26" s="76" t="s">
        <v>83</v>
      </c>
      <c r="B26" s="74"/>
      <c r="C26" s="74"/>
    </row>
    <row r="27" spans="1:17" x14ac:dyDescent="0.25">
      <c r="D27" s="2" t="s">
        <v>84</v>
      </c>
      <c r="E27" s="34">
        <f>Model!E25</f>
        <v>0</v>
      </c>
      <c r="F27" s="34">
        <f>Model!F25</f>
        <v>146208.48473520001</v>
      </c>
      <c r="G27" s="34">
        <f>Model!G25</f>
        <v>229895.01206400001</v>
      </c>
      <c r="H27" s="34">
        <f>Model!H25</f>
        <v>337253.0855936</v>
      </c>
      <c r="I27" s="34">
        <f>Model!I25</f>
        <v>518038.3832248</v>
      </c>
      <c r="J27" s="34">
        <f>Model!J25</f>
        <v>733711.41393559997</v>
      </c>
      <c r="K27" s="34">
        <f>Model!K25</f>
        <v>930715.15386080008</v>
      </c>
      <c r="L27" s="34">
        <f>Model!L25</f>
        <v>1041037.1492016003</v>
      </c>
      <c r="M27" s="34">
        <f>Model!M25</f>
        <v>1160163.7823088001</v>
      </c>
      <c r="N27" s="34">
        <f>Model!N25</f>
        <v>855462.77059119998</v>
      </c>
      <c r="O27" s="34">
        <f>Model!O25</f>
        <v>847856.57113760023</v>
      </c>
      <c r="P27" s="34">
        <f>Model!P25</f>
        <v>1032630.7734360003</v>
      </c>
      <c r="Q27" s="22">
        <f>SUM(E27:P27)</f>
        <v>7832972.5800892022</v>
      </c>
    </row>
    <row r="28" spans="1:17" x14ac:dyDescent="0.25">
      <c r="D28" s="2" t="s">
        <v>85</v>
      </c>
      <c r="E28" s="34">
        <f t="shared" ref="E28:P28" si="5">E22</f>
        <v>0</v>
      </c>
      <c r="F28" s="34">
        <f>F22</f>
        <v>0</v>
      </c>
      <c r="G28" s="34">
        <f t="shared" si="5"/>
        <v>585205.11112254753</v>
      </c>
      <c r="H28" s="34">
        <f t="shared" si="5"/>
        <v>980359.83157036139</v>
      </c>
      <c r="I28" s="34">
        <f t="shared" si="5"/>
        <v>1646093.6043751885</v>
      </c>
      <c r="J28" s="34">
        <f t="shared" si="5"/>
        <v>1575944.7698688856</v>
      </c>
      <c r="K28" s="34">
        <f t="shared" si="5"/>
        <v>2815082.5306198979</v>
      </c>
      <c r="L28" s="34">
        <f t="shared" si="5"/>
        <v>2113915.0511455075</v>
      </c>
      <c r="M28" s="34">
        <f t="shared" si="5"/>
        <v>2662213.4131153254</v>
      </c>
      <c r="N28" s="34">
        <f t="shared" si="5"/>
        <v>1574355.0598555084</v>
      </c>
      <c r="O28" s="34">
        <f t="shared" si="5"/>
        <v>1907910.9347736456</v>
      </c>
      <c r="P28" s="34">
        <f t="shared" si="5"/>
        <v>1807184.4719288708</v>
      </c>
      <c r="Q28" s="22">
        <f>SUM(E28:P28)</f>
        <v>17668264.778375737</v>
      </c>
    </row>
    <row r="29" spans="1:17" x14ac:dyDescent="0.25">
      <c r="D29" s="2" t="s">
        <v>86</v>
      </c>
      <c r="E29" s="38">
        <f t="shared" ref="E29:P29" si="6">E28-E27</f>
        <v>0</v>
      </c>
      <c r="F29" s="38">
        <f t="shared" si="6"/>
        <v>-146208.48473520001</v>
      </c>
      <c r="G29" s="38">
        <f t="shared" si="6"/>
        <v>355310.09905854752</v>
      </c>
      <c r="H29" s="38">
        <f t="shared" si="6"/>
        <v>643106.74597676145</v>
      </c>
      <c r="I29" s="38">
        <f t="shared" si="6"/>
        <v>1128055.2211503885</v>
      </c>
      <c r="J29" s="38">
        <f t="shared" si="6"/>
        <v>842233.35593328567</v>
      </c>
      <c r="K29" s="38">
        <f t="shared" si="6"/>
        <v>1884367.3767590979</v>
      </c>
      <c r="L29" s="38">
        <f t="shared" si="6"/>
        <v>1072877.9019439071</v>
      </c>
      <c r="M29" s="38">
        <f t="shared" si="6"/>
        <v>1502049.6308065252</v>
      </c>
      <c r="N29" s="38">
        <f t="shared" si="6"/>
        <v>718892.28926430841</v>
      </c>
      <c r="O29" s="38">
        <f t="shared" si="6"/>
        <v>1060054.3636360453</v>
      </c>
      <c r="P29" s="38">
        <f t="shared" si="6"/>
        <v>774553.69849287043</v>
      </c>
      <c r="Q29" s="53">
        <f>SUM(E29:P29)</f>
        <v>9835292.1982865371</v>
      </c>
    </row>
    <row r="30" spans="1:17" x14ac:dyDescent="0.25">
      <c r="D30" s="2" t="s">
        <v>87</v>
      </c>
      <c r="E30" s="36">
        <f t="shared" ref="E30:Q30" si="7">IFERROR(E29/E27,0)</f>
        <v>0</v>
      </c>
      <c r="F30" s="36">
        <f>IFERROR(F29/F27,0)</f>
        <v>-1</v>
      </c>
      <c r="G30" s="36">
        <f t="shared" si="7"/>
        <v>1.5455320055383954</v>
      </c>
      <c r="H30" s="36">
        <f t="shared" si="7"/>
        <v>1.9068965517241381</v>
      </c>
      <c r="I30" s="36">
        <f t="shared" si="7"/>
        <v>2.177551428000799</v>
      </c>
      <c r="J30" s="36">
        <f t="shared" si="7"/>
        <v>1.1479082101443374</v>
      </c>
      <c r="K30" s="36">
        <f t="shared" si="7"/>
        <v>2.0246445638521626</v>
      </c>
      <c r="L30" s="36">
        <f t="shared" si="7"/>
        <v>1.0305856066392312</v>
      </c>
      <c r="M30" s="36">
        <f t="shared" si="7"/>
        <v>1.2946875723161693</v>
      </c>
      <c r="N30" s="36">
        <f t="shared" si="7"/>
        <v>0.84035485117311493</v>
      </c>
      <c r="O30" s="36">
        <f t="shared" si="7"/>
        <v>1.2502755769336451</v>
      </c>
      <c r="P30" s="36">
        <f t="shared" si="7"/>
        <v>0.75007807090195644</v>
      </c>
      <c r="Q30" s="36">
        <f t="shared" si="7"/>
        <v>1.2556270429551959</v>
      </c>
    </row>
    <row r="31" spans="1:17" x14ac:dyDescent="0.25">
      <c r="D31" s="2" t="s">
        <v>88</v>
      </c>
      <c r="E31" s="22">
        <f>E29</f>
        <v>0</v>
      </c>
      <c r="F31" s="38">
        <f t="shared" ref="F31:P31" si="8">E31+F29</f>
        <v>-146208.48473520001</v>
      </c>
      <c r="G31" s="38">
        <f t="shared" si="8"/>
        <v>209101.61432334752</v>
      </c>
      <c r="H31" s="38">
        <f t="shared" si="8"/>
        <v>852208.36030010902</v>
      </c>
      <c r="I31" s="38">
        <f t="shared" si="8"/>
        <v>1980263.5814504975</v>
      </c>
      <c r="J31" s="38">
        <f t="shared" si="8"/>
        <v>2822496.937383783</v>
      </c>
      <c r="K31" s="38">
        <f t="shared" si="8"/>
        <v>4706864.314142881</v>
      </c>
      <c r="L31" s="38">
        <f t="shared" si="8"/>
        <v>5779742.2160867881</v>
      </c>
      <c r="M31" s="38">
        <f t="shared" si="8"/>
        <v>7281791.8468933133</v>
      </c>
      <c r="N31" s="38">
        <f t="shared" si="8"/>
        <v>8000684.1361576216</v>
      </c>
      <c r="O31" s="38">
        <f t="shared" si="8"/>
        <v>9060738.4997936673</v>
      </c>
      <c r="P31" s="38">
        <f t="shared" si="8"/>
        <v>9835292.1982865371</v>
      </c>
    </row>
    <row r="34" spans="1:17" ht="15.75" x14ac:dyDescent="0.25">
      <c r="A34" s="75" t="s">
        <v>89</v>
      </c>
      <c r="B34" s="74"/>
      <c r="C34" s="74"/>
    </row>
    <row r="35" spans="1:17" x14ac:dyDescent="0.25">
      <c r="D35" s="2" t="s">
        <v>90</v>
      </c>
      <c r="E35" s="54">
        <v>0</v>
      </c>
      <c r="F35" s="22">
        <f t="shared" ref="F35:P35" si="9">E38</f>
        <v>0</v>
      </c>
      <c r="G35" s="22">
        <f t="shared" si="9"/>
        <v>-146208.48473520001</v>
      </c>
      <c r="H35" s="22">
        <f t="shared" si="9"/>
        <v>209101.61432334752</v>
      </c>
      <c r="I35" s="22">
        <f t="shared" si="9"/>
        <v>852208.36030010879</v>
      </c>
      <c r="J35" s="22">
        <f t="shared" si="9"/>
        <v>1980263.581450497</v>
      </c>
      <c r="K35" s="22">
        <f t="shared" si="9"/>
        <v>2822496.937383783</v>
      </c>
      <c r="L35" s="22">
        <f t="shared" si="9"/>
        <v>4706864.314142881</v>
      </c>
      <c r="M35" s="22">
        <f t="shared" si="9"/>
        <v>5779742.2160867881</v>
      </c>
      <c r="N35" s="22">
        <f t="shared" si="9"/>
        <v>7281791.8468933124</v>
      </c>
      <c r="O35" s="22">
        <f t="shared" si="9"/>
        <v>8000684.1361576198</v>
      </c>
      <c r="P35" s="22">
        <f t="shared" si="9"/>
        <v>9060738.4997936655</v>
      </c>
    </row>
    <row r="36" spans="1:17" x14ac:dyDescent="0.25">
      <c r="D36" s="2" t="s">
        <v>91</v>
      </c>
      <c r="E36" s="22">
        <f t="shared" ref="E36:P36" si="10">E22</f>
        <v>0</v>
      </c>
      <c r="F36" s="22">
        <f t="shared" si="10"/>
        <v>0</v>
      </c>
      <c r="G36" s="22">
        <f t="shared" si="10"/>
        <v>585205.11112254753</v>
      </c>
      <c r="H36" s="22">
        <f t="shared" si="10"/>
        <v>980359.83157036139</v>
      </c>
      <c r="I36" s="22">
        <f t="shared" si="10"/>
        <v>1646093.6043751885</v>
      </c>
      <c r="J36" s="22">
        <f t="shared" si="10"/>
        <v>1575944.7698688856</v>
      </c>
      <c r="K36" s="22">
        <f t="shared" si="10"/>
        <v>2815082.5306198979</v>
      </c>
      <c r="L36" s="22">
        <f t="shared" si="10"/>
        <v>2113915.0511455075</v>
      </c>
      <c r="M36" s="22">
        <f t="shared" si="10"/>
        <v>2662213.4131153254</v>
      </c>
      <c r="N36" s="22">
        <f t="shared" si="10"/>
        <v>1574355.0598555084</v>
      </c>
      <c r="O36" s="22">
        <f t="shared" si="10"/>
        <v>1907910.9347736456</v>
      </c>
      <c r="P36" s="22">
        <f t="shared" si="10"/>
        <v>1807184.4719288708</v>
      </c>
      <c r="Q36" s="22">
        <f>SUM(E36:P36)</f>
        <v>17668264.778375737</v>
      </c>
    </row>
    <row r="37" spans="1:17" x14ac:dyDescent="0.25">
      <c r="D37" s="2" t="s">
        <v>92</v>
      </c>
      <c r="E37" s="22">
        <f t="shared" ref="E37:P37" si="11">E27</f>
        <v>0</v>
      </c>
      <c r="F37" s="22">
        <f>F27</f>
        <v>146208.48473520001</v>
      </c>
      <c r="G37" s="22">
        <f t="shared" si="11"/>
        <v>229895.01206400001</v>
      </c>
      <c r="H37" s="22">
        <f t="shared" si="11"/>
        <v>337253.0855936</v>
      </c>
      <c r="I37" s="22">
        <f t="shared" si="11"/>
        <v>518038.3832248</v>
      </c>
      <c r="J37" s="22">
        <f t="shared" si="11"/>
        <v>733711.41393559997</v>
      </c>
      <c r="K37" s="22">
        <f t="shared" si="11"/>
        <v>930715.15386080008</v>
      </c>
      <c r="L37" s="22">
        <f t="shared" si="11"/>
        <v>1041037.1492016003</v>
      </c>
      <c r="M37" s="22">
        <f t="shared" si="11"/>
        <v>1160163.7823088001</v>
      </c>
      <c r="N37" s="22">
        <f t="shared" si="11"/>
        <v>855462.77059119998</v>
      </c>
      <c r="O37" s="22">
        <f t="shared" si="11"/>
        <v>847856.57113760023</v>
      </c>
      <c r="P37" s="22">
        <f t="shared" si="11"/>
        <v>1032630.7734360003</v>
      </c>
      <c r="Q37" s="22">
        <f>SUM(E37:P37)</f>
        <v>7832972.5800892022</v>
      </c>
    </row>
    <row r="38" spans="1:17" ht="15.75" x14ac:dyDescent="0.25">
      <c r="D38" s="1" t="s">
        <v>93</v>
      </c>
      <c r="E38" s="26">
        <f t="shared" ref="E38:P38" si="12">E35+E36-E37</f>
        <v>0</v>
      </c>
      <c r="F38" s="26">
        <f t="shared" si="12"/>
        <v>-146208.48473520001</v>
      </c>
      <c r="G38" s="26">
        <f t="shared" si="12"/>
        <v>209101.61432334752</v>
      </c>
      <c r="H38" s="26">
        <f t="shared" si="12"/>
        <v>852208.36030010879</v>
      </c>
      <c r="I38" s="26">
        <f t="shared" si="12"/>
        <v>1980263.581450497</v>
      </c>
      <c r="J38" s="26">
        <f t="shared" si="12"/>
        <v>2822496.937383783</v>
      </c>
      <c r="K38" s="26">
        <f t="shared" si="12"/>
        <v>4706864.314142881</v>
      </c>
      <c r="L38" s="26">
        <f t="shared" si="12"/>
        <v>5779742.2160867881</v>
      </c>
      <c r="M38" s="26">
        <f t="shared" si="12"/>
        <v>7281791.8468933124</v>
      </c>
      <c r="N38" s="26">
        <f t="shared" si="12"/>
        <v>8000684.1361576198</v>
      </c>
      <c r="O38" s="26">
        <f t="shared" si="12"/>
        <v>9060738.4997936655</v>
      </c>
      <c r="P38" s="26">
        <f t="shared" si="12"/>
        <v>9835292.1982865352</v>
      </c>
    </row>
    <row r="41" spans="1:17" x14ac:dyDescent="0.25">
      <c r="A41" s="76" t="s">
        <v>94</v>
      </c>
      <c r="B41" s="74"/>
      <c r="C41" s="74"/>
    </row>
    <row r="42" spans="1:17" ht="15.75" x14ac:dyDescent="0.25">
      <c r="A42" s="81" t="s">
        <v>95</v>
      </c>
      <c r="B42" s="74"/>
      <c r="C42" s="55">
        <f>Q13</f>
        <v>59998865</v>
      </c>
    </row>
    <row r="43" spans="1:17" ht="15.75" x14ac:dyDescent="0.25">
      <c r="A43" s="81" t="s">
        <v>96</v>
      </c>
      <c r="B43" s="74"/>
      <c r="C43" s="55">
        <f>Q22</f>
        <v>17668264.778375737</v>
      </c>
    </row>
    <row r="44" spans="1:17" ht="15.75" x14ac:dyDescent="0.25">
      <c r="A44" s="81" t="s">
        <v>97</v>
      </c>
      <c r="B44" s="74"/>
      <c r="C44" s="55">
        <f>Q23</f>
        <v>42330600.221624263</v>
      </c>
    </row>
    <row r="45" spans="1:17" ht="15.75" x14ac:dyDescent="0.25">
      <c r="A45" s="81" t="s">
        <v>98</v>
      </c>
      <c r="B45" s="74"/>
      <c r="C45" s="56">
        <f>Q22/Q13</f>
        <v>0.29447665015622776</v>
      </c>
    </row>
    <row r="46" spans="1:17" ht="15.75" x14ac:dyDescent="0.25">
      <c r="A46" s="81" t="s">
        <v>99</v>
      </c>
      <c r="B46" s="74"/>
      <c r="C46" s="57">
        <f>Q29</f>
        <v>9835292.1982865371</v>
      </c>
    </row>
    <row r="47" spans="1:17" ht="15.75" x14ac:dyDescent="0.25">
      <c r="A47" s="81" t="s">
        <v>100</v>
      </c>
      <c r="B47" s="74"/>
      <c r="C47" s="55">
        <f>P38</f>
        <v>9835292.1982865352</v>
      </c>
    </row>
    <row r="50" spans="1:3" x14ac:dyDescent="0.25">
      <c r="A50" s="40" t="s">
        <v>59</v>
      </c>
      <c r="B50" s="40" t="s">
        <v>101</v>
      </c>
      <c r="C50" s="40" t="s">
        <v>102</v>
      </c>
    </row>
    <row r="51" spans="1:3" x14ac:dyDescent="0.25">
      <c r="A51" t="s">
        <v>19</v>
      </c>
      <c r="B51" s="22">
        <f>E28</f>
        <v>0</v>
      </c>
      <c r="C51" s="22">
        <f>E27</f>
        <v>0</v>
      </c>
    </row>
    <row r="52" spans="1:3" x14ac:dyDescent="0.25">
      <c r="A52" t="s">
        <v>20</v>
      </c>
      <c r="B52" s="22">
        <f>F28</f>
        <v>0</v>
      </c>
      <c r="C52" s="22">
        <f>F27</f>
        <v>146208.48473520001</v>
      </c>
    </row>
    <row r="53" spans="1:3" x14ac:dyDescent="0.25">
      <c r="A53" t="s">
        <v>21</v>
      </c>
      <c r="B53" s="22">
        <f>G28</f>
        <v>585205.11112254753</v>
      </c>
      <c r="C53" s="22">
        <f>G27</f>
        <v>229895.01206400001</v>
      </c>
    </row>
    <row r="54" spans="1:3" x14ac:dyDescent="0.25">
      <c r="A54" t="s">
        <v>22</v>
      </c>
      <c r="B54" s="22">
        <f>H28</f>
        <v>980359.83157036139</v>
      </c>
      <c r="C54" s="22">
        <f>H27</f>
        <v>337253.0855936</v>
      </c>
    </row>
    <row r="55" spans="1:3" x14ac:dyDescent="0.25">
      <c r="A55" t="s">
        <v>23</v>
      </c>
      <c r="B55" s="22">
        <f>I28</f>
        <v>1646093.6043751885</v>
      </c>
      <c r="C55" s="22">
        <f>I27</f>
        <v>518038.3832248</v>
      </c>
    </row>
    <row r="56" spans="1:3" x14ac:dyDescent="0.25">
      <c r="A56" t="s">
        <v>24</v>
      </c>
      <c r="B56" s="22">
        <f>J28</f>
        <v>1575944.7698688856</v>
      </c>
      <c r="C56" s="22">
        <f>J27</f>
        <v>733711.41393559997</v>
      </c>
    </row>
    <row r="57" spans="1:3" x14ac:dyDescent="0.25">
      <c r="A57" t="s">
        <v>25</v>
      </c>
      <c r="B57" s="22">
        <f>K28</f>
        <v>2815082.5306198979</v>
      </c>
      <c r="C57" s="22">
        <f>K27</f>
        <v>930715.15386080008</v>
      </c>
    </row>
    <row r="58" spans="1:3" x14ac:dyDescent="0.25">
      <c r="A58" t="s">
        <v>26</v>
      </c>
      <c r="B58" s="22">
        <f>L28</f>
        <v>2113915.0511455075</v>
      </c>
      <c r="C58" s="22">
        <f>L27</f>
        <v>1041037.1492016003</v>
      </c>
    </row>
    <row r="59" spans="1:3" x14ac:dyDescent="0.25">
      <c r="A59" t="s">
        <v>27</v>
      </c>
      <c r="B59" s="22">
        <f>M28</f>
        <v>2662213.4131153254</v>
      </c>
      <c r="C59" s="22">
        <f>M27</f>
        <v>1160163.7823088001</v>
      </c>
    </row>
    <row r="60" spans="1:3" x14ac:dyDescent="0.25">
      <c r="A60" t="s">
        <v>28</v>
      </c>
      <c r="B60" s="22">
        <f>N28</f>
        <v>1574355.0598555084</v>
      </c>
      <c r="C60" s="22">
        <f>N27</f>
        <v>855462.77059119998</v>
      </c>
    </row>
    <row r="61" spans="1:3" x14ac:dyDescent="0.25">
      <c r="A61" t="s">
        <v>29</v>
      </c>
      <c r="B61" s="22">
        <f>O28</f>
        <v>1907910.9347736456</v>
      </c>
      <c r="C61" s="22">
        <f>O27</f>
        <v>847856.57113760023</v>
      </c>
    </row>
    <row r="62" spans="1:3" x14ac:dyDescent="0.25">
      <c r="A62" t="s">
        <v>30</v>
      </c>
      <c r="B62" s="22">
        <f>P28</f>
        <v>1807184.4719288708</v>
      </c>
      <c r="C62" s="22">
        <f>P27</f>
        <v>1032630.7734360003</v>
      </c>
    </row>
    <row r="65" spans="1:7" ht="15.75" x14ac:dyDescent="0.25">
      <c r="A65" s="75" t="s">
        <v>103</v>
      </c>
      <c r="B65" s="74"/>
      <c r="C65" s="74"/>
      <c r="D65" s="74"/>
      <c r="E65" s="74"/>
      <c r="F65" s="74"/>
      <c r="G65" s="74"/>
    </row>
    <row r="66" spans="1:7" x14ac:dyDescent="0.25">
      <c r="A66" s="82" t="s">
        <v>104</v>
      </c>
      <c r="B66" s="74"/>
      <c r="C66" s="74"/>
      <c r="D66" s="74"/>
      <c r="E66" s="74"/>
      <c r="F66" s="74"/>
      <c r="G66" s="74"/>
    </row>
    <row r="67" spans="1:7" x14ac:dyDescent="0.25">
      <c r="A67" s="82" t="s">
        <v>105</v>
      </c>
      <c r="B67" s="74"/>
      <c r="C67" s="74"/>
      <c r="D67" s="74"/>
      <c r="E67" s="74"/>
      <c r="F67" s="74"/>
      <c r="G67" s="74"/>
    </row>
    <row r="68" spans="1:7" x14ac:dyDescent="0.25">
      <c r="A68" s="82" t="s">
        <v>106</v>
      </c>
      <c r="B68" s="74"/>
      <c r="C68" s="74"/>
      <c r="D68" s="74"/>
      <c r="E68" s="74"/>
      <c r="F68" s="74"/>
      <c r="G68" s="74"/>
    </row>
    <row r="69" spans="1:7" x14ac:dyDescent="0.25">
      <c r="A69" s="82" t="s">
        <v>107</v>
      </c>
      <c r="B69" s="74"/>
      <c r="C69" s="74"/>
      <c r="D69" s="74"/>
      <c r="E69" s="74"/>
      <c r="F69" s="74"/>
      <c r="G69" s="74"/>
    </row>
    <row r="70" spans="1:7" x14ac:dyDescent="0.25">
      <c r="A70" s="82" t="s">
        <v>108</v>
      </c>
      <c r="B70" s="74"/>
      <c r="C70" s="74"/>
      <c r="D70" s="74"/>
      <c r="E70" s="74"/>
      <c r="F70" s="74"/>
      <c r="G70" s="74"/>
    </row>
    <row r="71" spans="1:7" x14ac:dyDescent="0.25">
      <c r="A71" s="82"/>
      <c r="B71" s="74"/>
      <c r="C71" s="74"/>
      <c r="D71" s="74"/>
      <c r="E71" s="74"/>
      <c r="F71" s="74"/>
      <c r="G71" s="74"/>
    </row>
    <row r="72" spans="1:7" x14ac:dyDescent="0.25">
      <c r="A72" s="81" t="s">
        <v>109</v>
      </c>
      <c r="B72" s="74"/>
      <c r="C72" s="74"/>
      <c r="D72" s="74"/>
      <c r="E72" s="74"/>
      <c r="F72" s="74"/>
      <c r="G72" s="74"/>
    </row>
    <row r="73" spans="1:7" x14ac:dyDescent="0.25">
      <c r="A73" s="82" t="s">
        <v>110</v>
      </c>
      <c r="B73" s="74"/>
      <c r="C73" s="74"/>
      <c r="D73" s="74"/>
      <c r="E73" s="74"/>
      <c r="F73" s="74"/>
      <c r="G73" s="74"/>
    </row>
    <row r="74" spans="1:7" x14ac:dyDescent="0.25">
      <c r="A74" s="82" t="s">
        <v>111</v>
      </c>
      <c r="B74" s="74"/>
      <c r="C74" s="74"/>
      <c r="D74" s="74"/>
      <c r="E74" s="74"/>
      <c r="F74" s="74"/>
      <c r="G74" s="74"/>
    </row>
    <row r="75" spans="1:7" x14ac:dyDescent="0.25">
      <c r="A75" s="82" t="s">
        <v>112</v>
      </c>
      <c r="B75" s="74"/>
      <c r="C75" s="74"/>
      <c r="D75" s="74"/>
      <c r="E75" s="74"/>
      <c r="F75" s="74"/>
      <c r="G75" s="74"/>
    </row>
    <row r="76" spans="1:7" x14ac:dyDescent="0.25">
      <c r="A76" s="82" t="s">
        <v>113</v>
      </c>
      <c r="B76" s="74"/>
      <c r="C76" s="74"/>
      <c r="D76" s="74"/>
      <c r="E76" s="74"/>
      <c r="F76" s="74"/>
      <c r="G76" s="74"/>
    </row>
  </sheetData>
  <mergeCells count="26">
    <mergeCell ref="A72:G72"/>
    <mergeCell ref="A68:G68"/>
    <mergeCell ref="A26:C26"/>
    <mergeCell ref="A67:G67"/>
    <mergeCell ref="A46:B46"/>
    <mergeCell ref="A42:B42"/>
    <mergeCell ref="A34:C34"/>
    <mergeCell ref="A65:G65"/>
    <mergeCell ref="A41:C41"/>
    <mergeCell ref="A45:B45"/>
    <mergeCell ref="A4:Q4"/>
    <mergeCell ref="A44:B44"/>
    <mergeCell ref="D7:P7"/>
    <mergeCell ref="A76:G76"/>
    <mergeCell ref="A71:G71"/>
    <mergeCell ref="A5:Q5"/>
    <mergeCell ref="A75:G75"/>
    <mergeCell ref="A66:G66"/>
    <mergeCell ref="A74:G74"/>
    <mergeCell ref="A43:B43"/>
    <mergeCell ref="A73:G73"/>
    <mergeCell ref="A20:C20"/>
    <mergeCell ref="A10:C10"/>
    <mergeCell ref="A70:G70"/>
    <mergeCell ref="A69:G69"/>
    <mergeCell ref="A47:B47"/>
  </mergeCells>
  <pageMargins left="0.75" right="0.75" top="1" bottom="1" header="0.5" footer="0.5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Q37"/>
  <sheetViews>
    <sheetView topLeftCell="A9" workbookViewId="0">
      <selection activeCell="R19" sqref="R19"/>
    </sheetView>
  </sheetViews>
  <sheetFormatPr defaultRowHeight="15" x14ac:dyDescent="0.25"/>
  <cols>
    <col min="1" max="1" width="5" customWidth="1"/>
    <col min="2" max="3" width="10.5703125" bestFit="1" customWidth="1"/>
    <col min="4" max="4" width="18" customWidth="1"/>
    <col min="5" max="16" width="10" customWidth="1"/>
    <col min="17" max="17" width="12" customWidth="1"/>
  </cols>
  <sheetData>
    <row r="4" spans="1:17" ht="23.25" x14ac:dyDescent="0.35">
      <c r="A4" s="73" t="s">
        <v>114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</row>
    <row r="5" spans="1:17" x14ac:dyDescent="0.25">
      <c r="A5" s="77" t="s">
        <v>115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</row>
    <row r="7" spans="1:17" ht="15.75" x14ac:dyDescent="0.25">
      <c r="A7" s="75" t="s">
        <v>116</v>
      </c>
      <c r="B7" s="74"/>
      <c r="C7" s="74"/>
      <c r="D7" s="74"/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  <c r="J7" s="13" t="s">
        <v>24</v>
      </c>
      <c r="K7" s="13" t="s">
        <v>25</v>
      </c>
      <c r="L7" s="13" t="s">
        <v>26</v>
      </c>
      <c r="M7" s="13" t="s">
        <v>27</v>
      </c>
      <c r="N7" s="13" t="s">
        <v>28</v>
      </c>
      <c r="O7" s="13" t="s">
        <v>29</v>
      </c>
      <c r="P7" s="13" t="s">
        <v>30</v>
      </c>
      <c r="Q7" s="13" t="s">
        <v>34</v>
      </c>
    </row>
    <row r="8" spans="1:17" x14ac:dyDescent="0.25">
      <c r="D8" s="2" t="s">
        <v>117</v>
      </c>
      <c r="E8" s="21">
        <f>Assumptions!C22</f>
        <v>0</v>
      </c>
      <c r="F8" s="21">
        <f>Assumptions!C23</f>
        <v>0</v>
      </c>
      <c r="G8" s="21">
        <f>Assumptions!C24</f>
        <v>0</v>
      </c>
      <c r="H8" s="21">
        <f>Assumptions!C25</f>
        <v>0.06</v>
      </c>
      <c r="I8" s="21">
        <f>Assumptions!C26</f>
        <v>0.11</v>
      </c>
      <c r="J8" s="21">
        <f>Assumptions!C27</f>
        <v>0.28999999999999998</v>
      </c>
      <c r="K8" s="21">
        <f>Assumptions!C28</f>
        <v>0.44</v>
      </c>
      <c r="L8" s="21">
        <f>Assumptions!C29</f>
        <v>0.52</v>
      </c>
      <c r="M8" s="21">
        <f>Assumptions!C30</f>
        <v>0.57999999999999996</v>
      </c>
      <c r="N8" s="21">
        <f>Assumptions!C31</f>
        <v>0.57999999999999996</v>
      </c>
      <c r="O8" s="21">
        <f>Assumptions!C32</f>
        <v>0.57999999999999996</v>
      </c>
      <c r="P8" s="21">
        <f>Assumptions!C33</f>
        <v>0.57999999999999996</v>
      </c>
      <c r="Q8" s="19">
        <f>AVERAGE(E8:P8)</f>
        <v>0.3116666666666667</v>
      </c>
    </row>
    <row r="9" spans="1:17" x14ac:dyDescent="0.25">
      <c r="D9" s="2" t="s">
        <v>60</v>
      </c>
      <c r="E9" s="23">
        <f>Model!E27</f>
        <v>0</v>
      </c>
      <c r="F9" s="23">
        <f>Model!F27</f>
        <v>0.77227540455190324</v>
      </c>
      <c r="G9" s="23">
        <f>Model!G27</f>
        <v>0.74243691640495646</v>
      </c>
      <c r="H9" s="23">
        <f>Model!H27</f>
        <v>0.70524055455469359</v>
      </c>
      <c r="I9" s="23">
        <f>Model!I27</f>
        <v>0.6274277057901837</v>
      </c>
      <c r="J9" s="23">
        <f>Model!J27</f>
        <v>0.51750223517044658</v>
      </c>
      <c r="K9" s="23">
        <f>Model!K27</f>
        <v>0.41947177544268871</v>
      </c>
      <c r="L9" s="23">
        <f>Model!L27</f>
        <v>0.35984212460851467</v>
      </c>
      <c r="M9" s="23">
        <f>Model!M27</f>
        <v>0.30719077609766471</v>
      </c>
      <c r="N9" s="23">
        <f>Model!N27</f>
        <v>0.1965078126823562</v>
      </c>
      <c r="O9" s="23">
        <f>Model!O27</f>
        <v>0.16620734439237092</v>
      </c>
      <c r="P9" s="23">
        <f>Model!P27</f>
        <v>0.17004965511685552</v>
      </c>
      <c r="Q9" s="23">
        <f>Model!Q27</f>
        <v>0.28343176462759379</v>
      </c>
    </row>
    <row r="10" spans="1:17" x14ac:dyDescent="0.25">
      <c r="D10" s="2" t="s">
        <v>118</v>
      </c>
      <c r="E10" s="22">
        <f>Model!E25</f>
        <v>0</v>
      </c>
      <c r="F10" s="22">
        <f>Model!F25</f>
        <v>146208.48473520001</v>
      </c>
      <c r="G10" s="22">
        <f>Model!G25</f>
        <v>229895.01206400001</v>
      </c>
      <c r="H10" s="22">
        <f>Model!H25</f>
        <v>337253.0855936</v>
      </c>
      <c r="I10" s="22">
        <f>Model!I25</f>
        <v>518038.3832248</v>
      </c>
      <c r="J10" s="22">
        <f>Model!J25</f>
        <v>733711.41393559997</v>
      </c>
      <c r="K10" s="22">
        <f>Model!K25</f>
        <v>930715.15386080008</v>
      </c>
      <c r="L10" s="22">
        <f>Model!L25</f>
        <v>1041037.1492016003</v>
      </c>
      <c r="M10" s="22">
        <f>Model!M25</f>
        <v>1160163.7823088001</v>
      </c>
      <c r="N10" s="22">
        <f>Model!N25</f>
        <v>855462.77059119998</v>
      </c>
      <c r="O10" s="22">
        <f>Model!O25</f>
        <v>847856.57113760023</v>
      </c>
      <c r="P10" s="22">
        <f>Model!P25</f>
        <v>1032630.7734360003</v>
      </c>
      <c r="Q10" s="22">
        <f>SUM(E10:P10)</f>
        <v>7832972.5800892022</v>
      </c>
    </row>
    <row r="13" spans="1:17" ht="15.75" x14ac:dyDescent="0.25">
      <c r="A13" s="78" t="s">
        <v>119</v>
      </c>
      <c r="B13" s="74"/>
      <c r="C13" s="74"/>
      <c r="D13" s="74"/>
      <c r="E13" s="31" t="s">
        <v>19</v>
      </c>
      <c r="F13" s="31" t="s">
        <v>20</v>
      </c>
      <c r="G13" s="31" t="s">
        <v>21</v>
      </c>
      <c r="H13" s="31" t="s">
        <v>22</v>
      </c>
      <c r="I13" s="31" t="s">
        <v>23</v>
      </c>
      <c r="J13" s="31" t="s">
        <v>24</v>
      </c>
      <c r="K13" s="31" t="s">
        <v>25</v>
      </c>
      <c r="L13" s="31" t="s">
        <v>26</v>
      </c>
      <c r="M13" s="31" t="s">
        <v>27</v>
      </c>
      <c r="N13" s="31" t="s">
        <v>28</v>
      </c>
      <c r="O13" s="31" t="s">
        <v>29</v>
      </c>
      <c r="P13" s="31" t="s">
        <v>30</v>
      </c>
      <c r="Q13" s="31" t="s">
        <v>34</v>
      </c>
    </row>
    <row r="14" spans="1:17" x14ac:dyDescent="0.25">
      <c r="D14" s="2" t="s">
        <v>120</v>
      </c>
      <c r="E14" s="32">
        <v>0</v>
      </c>
      <c r="F14" s="32">
        <v>0</v>
      </c>
      <c r="G14" s="32">
        <v>0</v>
      </c>
      <c r="H14" s="32">
        <v>0.06</v>
      </c>
      <c r="I14" s="32">
        <v>0.11</v>
      </c>
      <c r="J14" s="32">
        <v>0.28999999999999998</v>
      </c>
      <c r="K14" s="32">
        <v>0.44</v>
      </c>
      <c r="L14" s="32">
        <v>0.52</v>
      </c>
      <c r="M14" s="32">
        <v>0.57999999999999996</v>
      </c>
      <c r="N14" s="32">
        <v>0.57999999999999996</v>
      </c>
      <c r="O14" s="32">
        <v>0.57999999999999996</v>
      </c>
      <c r="P14" s="32">
        <v>0.57999999999999996</v>
      </c>
      <c r="Q14" s="19">
        <f>AVERAGE(E14:P14)</f>
        <v>0.3116666666666667</v>
      </c>
    </row>
    <row r="15" spans="1:17" x14ac:dyDescent="0.25">
      <c r="D15" s="2" t="s">
        <v>121</v>
      </c>
      <c r="E15" s="33">
        <f t="shared" ref="E15:P15" si="0">MAX(0,E9*(1+(E8-E14)*1.5))</f>
        <v>0</v>
      </c>
      <c r="F15" s="33">
        <f t="shared" si="0"/>
        <v>0.77227540455190324</v>
      </c>
      <c r="G15" s="33">
        <f t="shared" si="0"/>
        <v>0.74243691640495646</v>
      </c>
      <c r="H15" s="33">
        <f t="shared" si="0"/>
        <v>0.70524055455469359</v>
      </c>
      <c r="I15" s="33">
        <f t="shared" si="0"/>
        <v>0.6274277057901837</v>
      </c>
      <c r="J15" s="33">
        <f t="shared" si="0"/>
        <v>0.51750223517044658</v>
      </c>
      <c r="K15" s="33">
        <f t="shared" si="0"/>
        <v>0.41947177544268871</v>
      </c>
      <c r="L15" s="33">
        <f t="shared" si="0"/>
        <v>0.35984212460851467</v>
      </c>
      <c r="M15" s="33">
        <f t="shared" si="0"/>
        <v>0.30719077609766471</v>
      </c>
      <c r="N15" s="33">
        <f t="shared" si="0"/>
        <v>0.1965078126823562</v>
      </c>
      <c r="O15" s="33">
        <f t="shared" si="0"/>
        <v>0.16620734439237092</v>
      </c>
      <c r="P15" s="33">
        <f t="shared" si="0"/>
        <v>0.17004965511685552</v>
      </c>
      <c r="Q15" s="23">
        <f>IFERROR(SUM(E16:P16)/SUM(Model!E26:P26),0)</f>
        <v>0.28343176462759379</v>
      </c>
    </row>
    <row r="16" spans="1:17" x14ac:dyDescent="0.25">
      <c r="D16" s="2" t="s">
        <v>122</v>
      </c>
      <c r="E16" s="34">
        <f>E15*Model!E26</f>
        <v>0</v>
      </c>
      <c r="F16" s="34">
        <f>F15*Model!F26</f>
        <v>146208.48473520001</v>
      </c>
      <c r="G16" s="34">
        <f>G15*Model!G26</f>
        <v>229895.01206399998</v>
      </c>
      <c r="H16" s="34">
        <f>H15*Model!H26</f>
        <v>337253.0855936</v>
      </c>
      <c r="I16" s="34">
        <f>I15*Model!I26</f>
        <v>518038.3832248</v>
      </c>
      <c r="J16" s="34">
        <f>J15*Model!J26</f>
        <v>733711.41393559997</v>
      </c>
      <c r="K16" s="34">
        <f>K15*Model!K26</f>
        <v>930715.15386080008</v>
      </c>
      <c r="L16" s="34">
        <f>L15*Model!L26</f>
        <v>1041037.1492016003</v>
      </c>
      <c r="M16" s="34">
        <f>M15*Model!M26</f>
        <v>1160163.7823088001</v>
      </c>
      <c r="N16" s="34">
        <f>N15*Model!N26</f>
        <v>855462.77059119998</v>
      </c>
      <c r="O16" s="34">
        <f>O15*Model!O26</f>
        <v>847856.57113760023</v>
      </c>
      <c r="P16" s="34">
        <f>P15*Model!P26</f>
        <v>1032630.7734360003</v>
      </c>
      <c r="Q16" s="22">
        <f>SUM(E16:P16)</f>
        <v>7832972.5800892022</v>
      </c>
    </row>
    <row r="19" spans="1:17" x14ac:dyDescent="0.25">
      <c r="A19" s="76" t="s">
        <v>123</v>
      </c>
      <c r="B19" s="74"/>
      <c r="C19" s="74"/>
      <c r="D19" s="74"/>
      <c r="E19" s="35" t="s">
        <v>19</v>
      </c>
      <c r="F19" s="35" t="s">
        <v>20</v>
      </c>
      <c r="G19" s="35" t="s">
        <v>21</v>
      </c>
      <c r="H19" s="35" t="s">
        <v>22</v>
      </c>
      <c r="I19" s="35" t="s">
        <v>23</v>
      </c>
      <c r="J19" s="35" t="s">
        <v>24</v>
      </c>
      <c r="K19" s="35" t="s">
        <v>25</v>
      </c>
      <c r="L19" s="35" t="s">
        <v>26</v>
      </c>
      <c r="M19" s="35" t="s">
        <v>27</v>
      </c>
      <c r="N19" s="35" t="s">
        <v>28</v>
      </c>
      <c r="O19" s="35" t="s">
        <v>29</v>
      </c>
      <c r="P19" s="35" t="s">
        <v>30</v>
      </c>
      <c r="Q19" s="11" t="s">
        <v>34</v>
      </c>
    </row>
    <row r="20" spans="1:17" x14ac:dyDescent="0.25">
      <c r="D20" s="2" t="s">
        <v>124</v>
      </c>
      <c r="E20" s="36">
        <f t="shared" ref="E20:P20" si="1">E14-E8</f>
        <v>0</v>
      </c>
      <c r="F20" s="36">
        <f t="shared" si="1"/>
        <v>0</v>
      </c>
      <c r="G20" s="36">
        <f t="shared" si="1"/>
        <v>0</v>
      </c>
      <c r="H20" s="36">
        <f t="shared" si="1"/>
        <v>0</v>
      </c>
      <c r="I20" s="36">
        <f t="shared" si="1"/>
        <v>0</v>
      </c>
      <c r="J20" s="36">
        <f t="shared" si="1"/>
        <v>0</v>
      </c>
      <c r="K20" s="36">
        <f t="shared" si="1"/>
        <v>0</v>
      </c>
      <c r="L20" s="36">
        <f t="shared" si="1"/>
        <v>0</v>
      </c>
      <c r="M20" s="36">
        <f t="shared" si="1"/>
        <v>0</v>
      </c>
      <c r="N20" s="36">
        <f t="shared" si="1"/>
        <v>0</v>
      </c>
      <c r="O20" s="36">
        <f t="shared" si="1"/>
        <v>0</v>
      </c>
      <c r="P20" s="36">
        <f t="shared" si="1"/>
        <v>0</v>
      </c>
      <c r="Q20" s="36">
        <f>AVERAGE(E20:P20)</f>
        <v>0</v>
      </c>
    </row>
    <row r="21" spans="1:17" x14ac:dyDescent="0.25">
      <c r="D21" s="2" t="s">
        <v>125</v>
      </c>
      <c r="E21" s="37">
        <f t="shared" ref="E21:P21" si="2">E15-E9</f>
        <v>0</v>
      </c>
      <c r="F21" s="37">
        <f t="shared" si="2"/>
        <v>0</v>
      </c>
      <c r="G21" s="37">
        <f t="shared" si="2"/>
        <v>0</v>
      </c>
      <c r="H21" s="37">
        <f t="shared" si="2"/>
        <v>0</v>
      </c>
      <c r="I21" s="37">
        <f t="shared" si="2"/>
        <v>0</v>
      </c>
      <c r="J21" s="37">
        <f t="shared" si="2"/>
        <v>0</v>
      </c>
      <c r="K21" s="37">
        <f t="shared" si="2"/>
        <v>0</v>
      </c>
      <c r="L21" s="37">
        <f t="shared" si="2"/>
        <v>0</v>
      </c>
      <c r="M21" s="37">
        <f t="shared" si="2"/>
        <v>0</v>
      </c>
      <c r="N21" s="37">
        <f t="shared" si="2"/>
        <v>0</v>
      </c>
      <c r="O21" s="37">
        <f t="shared" si="2"/>
        <v>0</v>
      </c>
      <c r="P21" s="37">
        <f t="shared" si="2"/>
        <v>0</v>
      </c>
      <c r="Q21" s="37">
        <f>Q15-Q9</f>
        <v>0</v>
      </c>
    </row>
    <row r="22" spans="1:17" ht="15.75" x14ac:dyDescent="0.25">
      <c r="D22" s="2" t="s">
        <v>126</v>
      </c>
      <c r="E22" s="38">
        <f t="shared" ref="E22:P22" si="3">E16-E10</f>
        <v>0</v>
      </c>
      <c r="F22" s="38">
        <f t="shared" si="3"/>
        <v>0</v>
      </c>
      <c r="G22" s="38">
        <f t="shared" si="3"/>
        <v>0</v>
      </c>
      <c r="H22" s="38">
        <f t="shared" si="3"/>
        <v>0</v>
      </c>
      <c r="I22" s="38">
        <f t="shared" si="3"/>
        <v>0</v>
      </c>
      <c r="J22" s="38">
        <f t="shared" si="3"/>
        <v>0</v>
      </c>
      <c r="K22" s="38">
        <f t="shared" si="3"/>
        <v>0</v>
      </c>
      <c r="L22" s="38">
        <f t="shared" si="3"/>
        <v>0</v>
      </c>
      <c r="M22" s="38">
        <f t="shared" si="3"/>
        <v>0</v>
      </c>
      <c r="N22" s="38">
        <f t="shared" si="3"/>
        <v>0</v>
      </c>
      <c r="O22" s="38">
        <f t="shared" si="3"/>
        <v>0</v>
      </c>
      <c r="P22" s="38">
        <f t="shared" si="3"/>
        <v>0</v>
      </c>
      <c r="Q22" s="39">
        <f>Q16-Q10</f>
        <v>0</v>
      </c>
    </row>
    <row r="25" spans="1:17" ht="15.75" x14ac:dyDescent="0.25">
      <c r="A25" s="40" t="s">
        <v>59</v>
      </c>
      <c r="B25" s="40" t="s">
        <v>127</v>
      </c>
      <c r="C25" s="40" t="s">
        <v>128</v>
      </c>
      <c r="K25" s="75" t="s">
        <v>129</v>
      </c>
      <c r="L25" s="74"/>
      <c r="M25" s="74"/>
      <c r="N25" s="74"/>
      <c r="O25" s="74"/>
      <c r="P25" s="74"/>
    </row>
    <row r="26" spans="1:17" x14ac:dyDescent="0.25">
      <c r="A26" t="s">
        <v>19</v>
      </c>
      <c r="B26" s="23">
        <f>E9</f>
        <v>0</v>
      </c>
      <c r="C26" s="23">
        <f>E15</f>
        <v>0</v>
      </c>
      <c r="K26" s="82" t="s">
        <v>130</v>
      </c>
      <c r="L26" s="74"/>
      <c r="M26" s="74"/>
      <c r="N26" s="74"/>
      <c r="O26" s="74"/>
      <c r="P26" s="74"/>
    </row>
    <row r="27" spans="1:17" x14ac:dyDescent="0.25">
      <c r="A27" t="s">
        <v>20</v>
      </c>
      <c r="B27" s="23">
        <f>F9</f>
        <v>0.77227540455190324</v>
      </c>
      <c r="C27" s="23">
        <f>F15</f>
        <v>0.77227540455190324</v>
      </c>
      <c r="K27" s="82" t="s">
        <v>131</v>
      </c>
      <c r="L27" s="74"/>
      <c r="M27" s="74"/>
      <c r="N27" s="74"/>
      <c r="O27" s="74"/>
      <c r="P27" s="74"/>
    </row>
    <row r="28" spans="1:17" x14ac:dyDescent="0.25">
      <c r="A28" t="s">
        <v>21</v>
      </c>
      <c r="B28" s="23">
        <f>G9</f>
        <v>0.74243691640495646</v>
      </c>
      <c r="C28" s="23">
        <f>G15</f>
        <v>0.74243691640495646</v>
      </c>
      <c r="K28" s="82" t="s">
        <v>132</v>
      </c>
      <c r="L28" s="74"/>
      <c r="M28" s="74"/>
      <c r="N28" s="74"/>
      <c r="O28" s="74"/>
      <c r="P28" s="74"/>
    </row>
    <row r="29" spans="1:17" x14ac:dyDescent="0.25">
      <c r="A29" t="s">
        <v>22</v>
      </c>
      <c r="B29" s="23">
        <f>H9</f>
        <v>0.70524055455469359</v>
      </c>
      <c r="C29" s="23">
        <f>H15</f>
        <v>0.70524055455469359</v>
      </c>
      <c r="K29" s="82" t="s">
        <v>133</v>
      </c>
      <c r="L29" s="74"/>
      <c r="M29" s="74"/>
      <c r="N29" s="74"/>
      <c r="O29" s="74"/>
      <c r="P29" s="74"/>
    </row>
    <row r="30" spans="1:17" x14ac:dyDescent="0.25">
      <c r="A30" t="s">
        <v>23</v>
      </c>
      <c r="B30" s="23">
        <f>I9</f>
        <v>0.6274277057901837</v>
      </c>
      <c r="C30" s="23">
        <f>I15</f>
        <v>0.6274277057901837</v>
      </c>
      <c r="K30" s="82" t="s">
        <v>134</v>
      </c>
      <c r="L30" s="74"/>
      <c r="M30" s="74"/>
      <c r="N30" s="74"/>
      <c r="O30" s="74"/>
      <c r="P30" s="74"/>
    </row>
    <row r="31" spans="1:17" x14ac:dyDescent="0.25">
      <c r="A31" t="s">
        <v>24</v>
      </c>
      <c r="B31" s="23">
        <f>J9</f>
        <v>0.51750223517044658</v>
      </c>
      <c r="C31" s="23">
        <f>J15</f>
        <v>0.51750223517044658</v>
      </c>
    </row>
    <row r="32" spans="1:17" x14ac:dyDescent="0.25">
      <c r="A32" t="s">
        <v>25</v>
      </c>
      <c r="B32" s="23">
        <f>K9</f>
        <v>0.41947177544268871</v>
      </c>
      <c r="C32" s="23">
        <f>K15</f>
        <v>0.41947177544268871</v>
      </c>
    </row>
    <row r="33" spans="1:3" x14ac:dyDescent="0.25">
      <c r="A33" t="s">
        <v>26</v>
      </c>
      <c r="B33" s="23">
        <f>L9</f>
        <v>0.35984212460851467</v>
      </c>
      <c r="C33" s="23">
        <f>L15</f>
        <v>0.35984212460851467</v>
      </c>
    </row>
    <row r="34" spans="1:3" x14ac:dyDescent="0.25">
      <c r="A34" t="s">
        <v>27</v>
      </c>
      <c r="B34" s="23">
        <f>M9</f>
        <v>0.30719077609766471</v>
      </c>
      <c r="C34" s="23">
        <f>M15</f>
        <v>0.30719077609766471</v>
      </c>
    </row>
    <row r="35" spans="1:3" x14ac:dyDescent="0.25">
      <c r="A35" t="s">
        <v>28</v>
      </c>
      <c r="B35" s="23">
        <f>N9</f>
        <v>0.1965078126823562</v>
      </c>
      <c r="C35" s="23">
        <f>N15</f>
        <v>0.1965078126823562</v>
      </c>
    </row>
    <row r="36" spans="1:3" x14ac:dyDescent="0.25">
      <c r="A36" t="s">
        <v>29</v>
      </c>
      <c r="B36" s="23">
        <f>O9</f>
        <v>0.16620734439237092</v>
      </c>
      <c r="C36" s="23">
        <f>O15</f>
        <v>0.16620734439237092</v>
      </c>
    </row>
    <row r="37" spans="1:3" x14ac:dyDescent="0.25">
      <c r="A37" t="s">
        <v>30</v>
      </c>
      <c r="B37" s="23">
        <f>P9</f>
        <v>0.17004965511685552</v>
      </c>
      <c r="C37" s="23">
        <f>P15</f>
        <v>0.17004965511685552</v>
      </c>
    </row>
  </sheetData>
  <mergeCells count="11">
    <mergeCell ref="K30:P30"/>
    <mergeCell ref="K27:P27"/>
    <mergeCell ref="K28:P28"/>
    <mergeCell ref="A4:Q4"/>
    <mergeCell ref="A7:D7"/>
    <mergeCell ref="K26:P26"/>
    <mergeCell ref="A19:D19"/>
    <mergeCell ref="K25:P25"/>
    <mergeCell ref="A5:Q5"/>
    <mergeCell ref="A13:D13"/>
    <mergeCell ref="K29:P29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F36"/>
  <sheetViews>
    <sheetView topLeftCell="A15" workbookViewId="0">
      <selection activeCell="A13" sqref="A13:D13"/>
    </sheetView>
  </sheetViews>
  <sheetFormatPr defaultRowHeight="15" x14ac:dyDescent="0.25"/>
  <cols>
    <col min="1" max="1" width="18" customWidth="1"/>
    <col min="2" max="2" width="14" customWidth="1"/>
    <col min="3" max="3" width="12" customWidth="1"/>
    <col min="4" max="4" width="14" customWidth="1"/>
  </cols>
  <sheetData>
    <row r="4" spans="1:6" ht="23.25" x14ac:dyDescent="0.35">
      <c r="A4" s="73" t="s">
        <v>135</v>
      </c>
      <c r="B4" s="74"/>
      <c r="C4" s="74"/>
      <c r="D4" s="74"/>
      <c r="E4" s="74"/>
      <c r="F4" s="74"/>
    </row>
    <row r="7" spans="1:6" ht="15.75" x14ac:dyDescent="0.25">
      <c r="A7" s="75" t="s">
        <v>136</v>
      </c>
      <c r="B7" s="74"/>
      <c r="C7" s="74"/>
    </row>
    <row r="8" spans="1:6" ht="15.75" x14ac:dyDescent="0.25">
      <c r="A8" t="s">
        <v>66</v>
      </c>
      <c r="B8" s="41">
        <f>Model!Q27</f>
        <v>0.28343176462759379</v>
      </c>
    </row>
    <row r="9" spans="1:6" x14ac:dyDescent="0.25">
      <c r="A9" t="s">
        <v>137</v>
      </c>
      <c r="B9" s="19">
        <f>AVERAGE(Assumptions!C22:C33)</f>
        <v>0.3116666666666667</v>
      </c>
    </row>
    <row r="10" spans="1:6" x14ac:dyDescent="0.25">
      <c r="A10" t="s">
        <v>138</v>
      </c>
      <c r="B10" s="19">
        <f>Assumptions!C11</f>
        <v>0</v>
      </c>
    </row>
    <row r="13" spans="1:6" ht="15.75" x14ac:dyDescent="0.25">
      <c r="A13" s="78" t="s">
        <v>139</v>
      </c>
      <c r="B13" s="74"/>
      <c r="C13" s="74"/>
      <c r="D13" s="74"/>
    </row>
    <row r="14" spans="1:6" x14ac:dyDescent="0.25">
      <c r="A14" s="29" t="s">
        <v>61</v>
      </c>
      <c r="B14" s="29" t="s">
        <v>140</v>
      </c>
      <c r="C14" s="29" t="s">
        <v>141</v>
      </c>
      <c r="D14" s="29" t="s">
        <v>142</v>
      </c>
    </row>
    <row r="15" spans="1:6" x14ac:dyDescent="0.25">
      <c r="A15" s="42">
        <v>0.1</v>
      </c>
      <c r="B15" s="23">
        <f t="shared" ref="B15:B22" si="0">$B$8*(1+($B$9-A15)*1.5)</f>
        <v>0.37342134989685483</v>
      </c>
      <c r="C15" s="37">
        <f t="shared" ref="C15:C22" si="1">B15-$B$8</f>
        <v>8.9989585269261041E-2</v>
      </c>
      <c r="D15" s="22">
        <f>C15*Model!Q26</f>
        <v>2486968.794178322</v>
      </c>
    </row>
    <row r="16" spans="1:6" x14ac:dyDescent="0.25">
      <c r="A16" s="42">
        <v>0.2</v>
      </c>
      <c r="B16" s="23">
        <f t="shared" si="0"/>
        <v>0.33090658520271576</v>
      </c>
      <c r="C16" s="37">
        <f t="shared" si="1"/>
        <v>4.7474820575121979E-2</v>
      </c>
      <c r="D16" s="22">
        <f>C16*Model!Q26</f>
        <v>1312022.9071649418</v>
      </c>
    </row>
    <row r="17" spans="1:4" x14ac:dyDescent="0.25">
      <c r="A17" s="42">
        <v>0.3</v>
      </c>
      <c r="B17" s="23">
        <f t="shared" si="0"/>
        <v>0.2883918205085767</v>
      </c>
      <c r="C17" s="37">
        <f t="shared" si="1"/>
        <v>4.9600558809829165E-3</v>
      </c>
      <c r="D17" s="22">
        <f>C17*Model!Q26</f>
        <v>137077.02015156174</v>
      </c>
    </row>
    <row r="18" spans="1:4" x14ac:dyDescent="0.25">
      <c r="A18" s="42">
        <v>0.4</v>
      </c>
      <c r="B18" s="23">
        <f t="shared" si="0"/>
        <v>0.24587705581443761</v>
      </c>
      <c r="C18" s="37">
        <f t="shared" si="1"/>
        <v>-3.7554708813156173E-2</v>
      </c>
      <c r="D18" s="22">
        <f>C18*Model!Q26</f>
        <v>-1037868.8668618192</v>
      </c>
    </row>
    <row r="19" spans="1:4" x14ac:dyDescent="0.25">
      <c r="A19" s="42">
        <v>0.5</v>
      </c>
      <c r="B19" s="23">
        <f t="shared" si="0"/>
        <v>0.20336229112029855</v>
      </c>
      <c r="C19" s="37">
        <f t="shared" si="1"/>
        <v>-8.0069473507295236E-2</v>
      </c>
      <c r="D19" s="22">
        <f>C19*Model!Q26</f>
        <v>-2212814.7538751992</v>
      </c>
    </row>
    <row r="20" spans="1:4" x14ac:dyDescent="0.25">
      <c r="A20" s="42">
        <v>0.6</v>
      </c>
      <c r="B20" s="23">
        <f t="shared" si="0"/>
        <v>0.16084752642615952</v>
      </c>
      <c r="C20" s="37">
        <f t="shared" si="1"/>
        <v>-0.12258423820143427</v>
      </c>
      <c r="D20" s="22">
        <f>C20*Model!Q26</f>
        <v>-3387760.6408885787</v>
      </c>
    </row>
    <row r="21" spans="1:4" x14ac:dyDescent="0.25">
      <c r="A21" s="42">
        <v>0.7</v>
      </c>
      <c r="B21" s="23">
        <f t="shared" si="0"/>
        <v>0.11833276173202043</v>
      </c>
      <c r="C21" s="37">
        <f t="shared" si="1"/>
        <v>-0.16509900289557336</v>
      </c>
      <c r="D21" s="22">
        <f>C21*Model!Q26</f>
        <v>-4562706.5279019596</v>
      </c>
    </row>
    <row r="22" spans="1:4" x14ac:dyDescent="0.25">
      <c r="A22" s="42">
        <v>0.8</v>
      </c>
      <c r="B22" s="23">
        <f t="shared" si="0"/>
        <v>7.5817997037881321E-2</v>
      </c>
      <c r="C22" s="37">
        <f t="shared" si="1"/>
        <v>-0.20761376758971245</v>
      </c>
      <c r="D22" s="22">
        <f>C22*Model!Q26</f>
        <v>-5737652.41491534</v>
      </c>
    </row>
    <row r="25" spans="1:4" x14ac:dyDescent="0.25">
      <c r="A25" s="76" t="s">
        <v>143</v>
      </c>
      <c r="B25" s="74"/>
      <c r="C25" s="74"/>
      <c r="D25" s="74"/>
    </row>
    <row r="26" spans="1:4" x14ac:dyDescent="0.25">
      <c r="A26" s="29" t="s">
        <v>144</v>
      </c>
      <c r="B26" s="29" t="s">
        <v>140</v>
      </c>
      <c r="C26" s="29" t="s">
        <v>141</v>
      </c>
      <c r="D26" s="29" t="s">
        <v>142</v>
      </c>
    </row>
    <row r="27" spans="1:4" x14ac:dyDescent="0.25">
      <c r="A27" s="42">
        <v>0</v>
      </c>
      <c r="B27" s="23">
        <f t="shared" ref="B27:B32" si="2">$B$8*(1-A27*0.5)</f>
        <v>0.28343176462759379</v>
      </c>
      <c r="C27" s="37">
        <f t="shared" ref="C27:C32" si="3">B27-$B$8</f>
        <v>0</v>
      </c>
      <c r="D27" s="22">
        <f>C27*Model!Q26</f>
        <v>0</v>
      </c>
    </row>
    <row r="28" spans="1:4" x14ac:dyDescent="0.25">
      <c r="A28" s="42">
        <v>0.05</v>
      </c>
      <c r="B28" s="23">
        <f t="shared" si="2"/>
        <v>0.27634597051190396</v>
      </c>
      <c r="C28" s="37">
        <f t="shared" si="3"/>
        <v>-7.0857941156898252E-3</v>
      </c>
      <c r="D28" s="22">
        <f>C28*Model!Q26</f>
        <v>-195824.31450222951</v>
      </c>
    </row>
    <row r="29" spans="1:4" x14ac:dyDescent="0.25">
      <c r="A29" s="42">
        <v>0.1</v>
      </c>
      <c r="B29" s="23">
        <f t="shared" si="2"/>
        <v>0.26926017639621408</v>
      </c>
      <c r="C29" s="37">
        <f t="shared" si="3"/>
        <v>-1.4171588231379706E-2</v>
      </c>
      <c r="D29" s="22">
        <f>C29*Model!Q26</f>
        <v>-391648.62900446053</v>
      </c>
    </row>
    <row r="30" spans="1:4" x14ac:dyDescent="0.25">
      <c r="A30" s="42">
        <v>0.15</v>
      </c>
      <c r="B30" s="23">
        <f t="shared" si="2"/>
        <v>0.26217438228052425</v>
      </c>
      <c r="C30" s="37">
        <f t="shared" si="3"/>
        <v>-2.1257382347069531E-2</v>
      </c>
      <c r="D30" s="22">
        <f>C30*Model!Q26</f>
        <v>-587472.94350669009</v>
      </c>
    </row>
    <row r="31" spans="1:4" x14ac:dyDescent="0.25">
      <c r="A31" s="42">
        <v>0.2</v>
      </c>
      <c r="B31" s="23">
        <f t="shared" si="2"/>
        <v>0.25508858816483443</v>
      </c>
      <c r="C31" s="37">
        <f t="shared" si="3"/>
        <v>-2.8343176462759356E-2</v>
      </c>
      <c r="D31" s="22">
        <f>C31*Model!Q26</f>
        <v>-783297.25800891954</v>
      </c>
    </row>
    <row r="32" spans="1:4" x14ac:dyDescent="0.25">
      <c r="A32" s="42">
        <v>0.25</v>
      </c>
      <c r="B32" s="23">
        <f t="shared" si="2"/>
        <v>0.24800279404914455</v>
      </c>
      <c r="C32" s="37">
        <f t="shared" si="3"/>
        <v>-3.5428970578449237E-2</v>
      </c>
      <c r="D32" s="22">
        <f>C32*Model!Q26</f>
        <v>-979121.57251115062</v>
      </c>
    </row>
    <row r="35" spans="1:4" ht="15.75" x14ac:dyDescent="0.25">
      <c r="A35" s="75" t="s">
        <v>145</v>
      </c>
      <c r="B35" s="74"/>
      <c r="C35" s="74"/>
      <c r="D35" s="74"/>
    </row>
    <row r="36" spans="1:4" x14ac:dyDescent="0.25">
      <c r="A36" s="81" t="s">
        <v>146</v>
      </c>
      <c r="B36" s="74"/>
      <c r="C36" s="74"/>
      <c r="D36" s="74"/>
    </row>
  </sheetData>
  <mergeCells count="6">
    <mergeCell ref="A35:D35"/>
    <mergeCell ref="A25:D25"/>
    <mergeCell ref="A4:F4"/>
    <mergeCell ref="A13:D13"/>
    <mergeCell ref="A36:D36"/>
    <mergeCell ref="A7:C7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23A9-5653-4DDC-9EA4-9EBA7F01379A}">
  <dimension ref="B2:J41"/>
  <sheetViews>
    <sheetView workbookViewId="0">
      <selection activeCell="B3" sqref="B3"/>
    </sheetView>
  </sheetViews>
  <sheetFormatPr defaultRowHeight="15" x14ac:dyDescent="0.25"/>
  <cols>
    <col min="2" max="2" width="10.28515625" bestFit="1" customWidth="1"/>
    <col min="3" max="3" width="15.7109375" customWidth="1"/>
    <col min="4" max="4" width="27.28515625" customWidth="1"/>
    <col min="5" max="5" width="18.85546875" customWidth="1"/>
    <col min="6" max="6" width="12.5703125" customWidth="1"/>
    <col min="7" max="7" width="24.7109375" customWidth="1"/>
  </cols>
  <sheetData>
    <row r="2" spans="2:10" ht="30" x14ac:dyDescent="0.25">
      <c r="B2" s="64"/>
      <c r="C2" s="65" t="s">
        <v>158</v>
      </c>
      <c r="D2" s="65" t="s">
        <v>159</v>
      </c>
      <c r="E2" s="65" t="s">
        <v>160</v>
      </c>
      <c r="F2" s="65" t="s">
        <v>161</v>
      </c>
      <c r="G2" s="65" t="s">
        <v>162</v>
      </c>
    </row>
    <row r="3" spans="2:10" x14ac:dyDescent="0.25">
      <c r="B3" s="64">
        <v>46022</v>
      </c>
      <c r="C3" s="66">
        <v>0</v>
      </c>
      <c r="D3" s="66">
        <v>0</v>
      </c>
      <c r="E3" s="67">
        <f>+C3-D3+G3</f>
        <v>0</v>
      </c>
      <c r="F3" s="66">
        <v>0</v>
      </c>
      <c r="G3" s="66">
        <v>0</v>
      </c>
    </row>
    <row r="4" spans="2:10" x14ac:dyDescent="0.25">
      <c r="B4" s="64">
        <f>EOMONTH(B3+1,0)</f>
        <v>46053</v>
      </c>
      <c r="C4" s="67">
        <f>E3</f>
        <v>0</v>
      </c>
      <c r="D4" s="66">
        <v>0</v>
      </c>
      <c r="E4" s="67">
        <f>+G4</f>
        <v>474</v>
      </c>
      <c r="F4" s="68">
        <v>0</v>
      </c>
      <c r="G4" s="66">
        <v>474</v>
      </c>
      <c r="J4" s="67"/>
    </row>
    <row r="5" spans="2:10" x14ac:dyDescent="0.25">
      <c r="B5" s="64">
        <f t="shared" ref="B5:B16" si="0">EOMONTH(B4+1,0)</f>
        <v>46081</v>
      </c>
      <c r="C5" s="67">
        <f>+E4</f>
        <v>474</v>
      </c>
      <c r="D5" s="66">
        <v>130</v>
      </c>
      <c r="E5" s="67">
        <f t="shared" ref="E5:E16" si="1">+F5*D5</f>
        <v>260</v>
      </c>
      <c r="F5" s="68">
        <v>2</v>
      </c>
      <c r="G5" s="66">
        <f>+IF(C5-D5&gt;E5,0,E5-C5+D5)</f>
        <v>0</v>
      </c>
    </row>
    <row r="6" spans="2:10" x14ac:dyDescent="0.25">
      <c r="B6" s="64">
        <f t="shared" si="0"/>
        <v>46112</v>
      </c>
      <c r="C6" s="67">
        <f t="shared" ref="C6:C16" si="2">+E5</f>
        <v>260</v>
      </c>
      <c r="D6" s="66">
        <v>246</v>
      </c>
      <c r="E6" s="67">
        <f t="shared" si="1"/>
        <v>492</v>
      </c>
      <c r="F6" s="68">
        <v>2</v>
      </c>
      <c r="G6" s="66">
        <f t="shared" ref="G6:G16" si="3">+IF(C6-D6&gt;E6,0,E6-C6+D6)</f>
        <v>478</v>
      </c>
      <c r="H6" s="68"/>
    </row>
    <row r="7" spans="2:10" x14ac:dyDescent="0.25">
      <c r="B7" s="64">
        <f t="shared" si="0"/>
        <v>46142</v>
      </c>
      <c r="C7" s="67">
        <f t="shared" si="2"/>
        <v>492</v>
      </c>
      <c r="D7" s="66">
        <v>445</v>
      </c>
      <c r="E7" s="67">
        <f t="shared" si="1"/>
        <v>890</v>
      </c>
      <c r="F7" s="68">
        <v>2</v>
      </c>
      <c r="G7" s="66">
        <f t="shared" si="3"/>
        <v>843</v>
      </c>
      <c r="H7" s="68"/>
    </row>
    <row r="8" spans="2:10" x14ac:dyDescent="0.25">
      <c r="B8" s="64">
        <f t="shared" si="0"/>
        <v>46173</v>
      </c>
      <c r="C8" s="67">
        <f t="shared" si="2"/>
        <v>890</v>
      </c>
      <c r="D8" s="66">
        <v>827</v>
      </c>
      <c r="E8" s="67">
        <f t="shared" si="1"/>
        <v>1654</v>
      </c>
      <c r="F8" s="68">
        <v>2</v>
      </c>
      <c r="G8" s="66">
        <f t="shared" si="3"/>
        <v>1591</v>
      </c>
      <c r="H8" s="68"/>
    </row>
    <row r="9" spans="2:10" x14ac:dyDescent="0.25">
      <c r="B9" s="64">
        <f t="shared" si="0"/>
        <v>46203</v>
      </c>
      <c r="C9" s="67">
        <f t="shared" si="2"/>
        <v>1654</v>
      </c>
      <c r="D9" s="66">
        <v>1273</v>
      </c>
      <c r="E9" s="67">
        <f t="shared" si="1"/>
        <v>2227.75</v>
      </c>
      <c r="F9" s="68">
        <v>1.75</v>
      </c>
      <c r="G9" s="66">
        <f t="shared" si="3"/>
        <v>1846.75</v>
      </c>
      <c r="H9" s="68"/>
    </row>
    <row r="10" spans="2:10" x14ac:dyDescent="0.25">
      <c r="B10" s="64">
        <f t="shared" si="0"/>
        <v>46234</v>
      </c>
      <c r="C10" s="67">
        <f t="shared" si="2"/>
        <v>2227.75</v>
      </c>
      <c r="D10" s="66">
        <v>2290</v>
      </c>
      <c r="E10" s="67">
        <f t="shared" si="1"/>
        <v>4007.5</v>
      </c>
      <c r="F10" s="68">
        <v>1.75</v>
      </c>
      <c r="G10" s="66">
        <f t="shared" si="3"/>
        <v>4069.75</v>
      </c>
      <c r="H10" s="68"/>
    </row>
    <row r="11" spans="2:10" x14ac:dyDescent="0.25">
      <c r="B11" s="64">
        <f t="shared" si="0"/>
        <v>46265</v>
      </c>
      <c r="C11" s="67">
        <f t="shared" si="2"/>
        <v>4007.5</v>
      </c>
      <c r="D11" s="69">
        <v>3028</v>
      </c>
      <c r="E11" s="67">
        <f t="shared" si="1"/>
        <v>4542</v>
      </c>
      <c r="F11" s="68">
        <v>1.5</v>
      </c>
      <c r="G11" s="66">
        <f t="shared" si="3"/>
        <v>3562.5</v>
      </c>
      <c r="H11" s="68"/>
    </row>
    <row r="12" spans="2:10" x14ac:dyDescent="0.25">
      <c r="B12" s="64">
        <f t="shared" si="0"/>
        <v>46295</v>
      </c>
      <c r="C12" s="67">
        <f t="shared" si="2"/>
        <v>4542</v>
      </c>
      <c r="D12" s="69">
        <v>3919</v>
      </c>
      <c r="E12" s="67">
        <f t="shared" si="1"/>
        <v>5878.5</v>
      </c>
      <c r="F12" s="68">
        <v>1.5</v>
      </c>
      <c r="G12" s="66">
        <f t="shared" si="3"/>
        <v>5255.5</v>
      </c>
      <c r="H12" s="68"/>
    </row>
    <row r="13" spans="2:10" x14ac:dyDescent="0.25">
      <c r="B13" s="64">
        <f t="shared" si="0"/>
        <v>46326</v>
      </c>
      <c r="C13" s="67">
        <f>+E12</f>
        <v>5878.5</v>
      </c>
      <c r="D13" s="66">
        <v>4772</v>
      </c>
      <c r="E13" s="67">
        <f t="shared" si="1"/>
        <v>5965</v>
      </c>
      <c r="F13" s="68">
        <v>1.25</v>
      </c>
      <c r="G13" s="66">
        <f t="shared" si="3"/>
        <v>4858.5</v>
      </c>
      <c r="H13" s="68"/>
    </row>
    <row r="14" spans="2:10" x14ac:dyDescent="0.25">
      <c r="B14" s="64">
        <f t="shared" si="0"/>
        <v>46356</v>
      </c>
      <c r="C14" s="67">
        <f t="shared" si="2"/>
        <v>5965</v>
      </c>
      <c r="D14" s="66">
        <v>5745</v>
      </c>
      <c r="E14" s="67">
        <f t="shared" si="1"/>
        <v>7181.25</v>
      </c>
      <c r="F14" s="68">
        <v>1.25</v>
      </c>
      <c r="G14" s="66">
        <f t="shared" si="3"/>
        <v>6961.25</v>
      </c>
      <c r="H14" s="68"/>
    </row>
    <row r="15" spans="2:10" x14ac:dyDescent="0.25">
      <c r="B15" s="64">
        <f t="shared" si="0"/>
        <v>46387</v>
      </c>
      <c r="C15" s="67">
        <f t="shared" si="2"/>
        <v>7181.25</v>
      </c>
      <c r="D15" s="66">
        <v>6813</v>
      </c>
      <c r="E15" s="67">
        <f t="shared" si="1"/>
        <v>6813</v>
      </c>
      <c r="F15" s="68">
        <v>1</v>
      </c>
      <c r="G15" s="66">
        <f t="shared" si="3"/>
        <v>6444.75</v>
      </c>
      <c r="H15" s="68"/>
    </row>
    <row r="16" spans="2:10" x14ac:dyDescent="0.25">
      <c r="B16" s="64">
        <f t="shared" si="0"/>
        <v>46418</v>
      </c>
      <c r="C16" s="67">
        <f t="shared" si="2"/>
        <v>6813</v>
      </c>
      <c r="D16" s="67">
        <v>8673</v>
      </c>
      <c r="E16" s="67">
        <f t="shared" si="1"/>
        <v>8673</v>
      </c>
      <c r="F16" s="68">
        <v>1</v>
      </c>
      <c r="G16" s="66">
        <f t="shared" si="3"/>
        <v>10533</v>
      </c>
      <c r="H16" s="68"/>
    </row>
    <row r="17" spans="2:8" x14ac:dyDescent="0.25">
      <c r="B17" s="70"/>
      <c r="C17" s="67"/>
      <c r="D17" s="71"/>
      <c r="E17" s="67"/>
      <c r="F17" s="68"/>
      <c r="G17" s="72"/>
      <c r="H17" s="68"/>
    </row>
    <row r="18" spans="2:8" x14ac:dyDescent="0.25">
      <c r="B18" s="70"/>
      <c r="C18" s="67"/>
      <c r="D18" s="71"/>
      <c r="E18" s="67"/>
      <c r="F18" s="68"/>
      <c r="G18" s="72"/>
      <c r="H18" s="68"/>
    </row>
    <row r="19" spans="2:8" x14ac:dyDescent="0.25">
      <c r="B19" s="70"/>
      <c r="C19" s="67"/>
      <c r="D19" s="71"/>
      <c r="E19" s="67"/>
      <c r="F19" s="68"/>
      <c r="G19" s="72"/>
      <c r="H19" s="68"/>
    </row>
    <row r="20" spans="2:8" x14ac:dyDescent="0.25">
      <c r="B20" s="70"/>
      <c r="C20" s="67"/>
      <c r="D20" s="71"/>
      <c r="E20" s="67"/>
      <c r="F20" s="68"/>
      <c r="G20" s="72"/>
      <c r="H20" s="68"/>
    </row>
    <row r="21" spans="2:8" x14ac:dyDescent="0.25">
      <c r="B21" s="70"/>
      <c r="C21" s="67"/>
      <c r="D21" s="71"/>
      <c r="E21" s="67"/>
      <c r="F21" s="68"/>
      <c r="G21" s="72"/>
      <c r="H21" s="68"/>
    </row>
    <row r="22" spans="2:8" x14ac:dyDescent="0.25">
      <c r="B22" s="70"/>
      <c r="C22" s="67"/>
      <c r="D22" s="71"/>
      <c r="E22" s="67"/>
      <c r="F22" s="68"/>
      <c r="G22" s="72"/>
      <c r="H22" s="68"/>
    </row>
    <row r="23" spans="2:8" x14ac:dyDescent="0.25">
      <c r="B23" s="70"/>
      <c r="C23" s="67"/>
      <c r="D23" s="71"/>
      <c r="E23" s="67"/>
      <c r="F23" s="68"/>
      <c r="G23" s="72"/>
      <c r="H23" s="68"/>
    </row>
    <row r="24" spans="2:8" x14ac:dyDescent="0.25">
      <c r="B24" s="70"/>
      <c r="C24" s="67"/>
      <c r="D24" s="71"/>
      <c r="E24" s="67"/>
      <c r="F24" s="68"/>
      <c r="G24" s="72"/>
      <c r="H24" s="68"/>
    </row>
    <row r="25" spans="2:8" x14ac:dyDescent="0.25">
      <c r="B25" s="70"/>
      <c r="C25" s="67"/>
      <c r="D25" s="71"/>
      <c r="E25" s="67"/>
      <c r="F25" s="68"/>
      <c r="G25" s="72"/>
      <c r="H25" s="68"/>
    </row>
    <row r="26" spans="2:8" x14ac:dyDescent="0.25">
      <c r="B26" s="70"/>
      <c r="C26" s="67"/>
      <c r="D26" s="71"/>
      <c r="E26" s="67"/>
      <c r="F26" s="68"/>
      <c r="G26" s="72"/>
      <c r="H26" s="68"/>
    </row>
    <row r="27" spans="2:8" x14ac:dyDescent="0.25">
      <c r="B27" s="70"/>
      <c r="C27" s="67"/>
      <c r="D27" s="71"/>
      <c r="E27" s="67"/>
      <c r="F27" s="68"/>
      <c r="G27" s="72"/>
      <c r="H27" s="68"/>
    </row>
    <row r="28" spans="2:8" x14ac:dyDescent="0.25">
      <c r="B28" s="70"/>
      <c r="C28" s="67"/>
      <c r="D28" s="71"/>
      <c r="E28" s="67"/>
      <c r="F28" s="68"/>
      <c r="G28" s="72"/>
      <c r="H28" s="68"/>
    </row>
    <row r="29" spans="2:8" x14ac:dyDescent="0.25">
      <c r="B29" s="70"/>
      <c r="C29" s="67"/>
      <c r="D29" s="71"/>
      <c r="E29" s="67"/>
      <c r="F29" s="68"/>
      <c r="G29" s="72"/>
      <c r="H29" s="68"/>
    </row>
    <row r="30" spans="2:8" x14ac:dyDescent="0.25">
      <c r="C30" s="67"/>
      <c r="D30" s="71"/>
      <c r="E30" s="67"/>
      <c r="F30" s="68"/>
      <c r="G30" s="72"/>
      <c r="H30" s="68"/>
    </row>
    <row r="31" spans="2:8" x14ac:dyDescent="0.25">
      <c r="C31" s="67"/>
      <c r="D31" s="71"/>
      <c r="E31" s="67"/>
      <c r="F31" s="68"/>
      <c r="G31" s="72"/>
      <c r="H31" s="68"/>
    </row>
    <row r="32" spans="2:8" x14ac:dyDescent="0.25">
      <c r="C32" s="67"/>
      <c r="D32" s="71"/>
      <c r="E32" s="67"/>
      <c r="F32" s="68"/>
      <c r="G32" s="72"/>
      <c r="H32" s="68"/>
    </row>
    <row r="33" spans="3:8" x14ac:dyDescent="0.25">
      <c r="C33" s="67"/>
      <c r="D33" s="71"/>
      <c r="E33" s="67"/>
      <c r="F33" s="68"/>
      <c r="G33" s="72"/>
      <c r="H33" s="68"/>
    </row>
    <row r="34" spans="3:8" x14ac:dyDescent="0.25">
      <c r="C34" s="67"/>
      <c r="D34" s="71"/>
      <c r="E34" s="67"/>
      <c r="F34" s="68"/>
      <c r="G34" s="72"/>
      <c r="H34" s="68"/>
    </row>
    <row r="35" spans="3:8" x14ac:dyDescent="0.25">
      <c r="C35" s="67"/>
      <c r="D35" s="71"/>
      <c r="E35" s="67"/>
      <c r="F35" s="68"/>
      <c r="G35" s="72"/>
      <c r="H35" s="68"/>
    </row>
    <row r="36" spans="3:8" x14ac:dyDescent="0.25">
      <c r="C36" s="67"/>
      <c r="D36" s="71"/>
      <c r="E36" s="67"/>
      <c r="F36" s="68"/>
      <c r="G36" s="72"/>
      <c r="H36" s="68"/>
    </row>
    <row r="37" spans="3:8" x14ac:dyDescent="0.25">
      <c r="C37" s="67"/>
      <c r="D37" s="71"/>
      <c r="E37" s="67"/>
      <c r="F37" s="68"/>
      <c r="G37" s="72"/>
      <c r="H37" s="68"/>
    </row>
    <row r="38" spans="3:8" x14ac:dyDescent="0.25">
      <c r="C38" s="67"/>
      <c r="D38" s="71"/>
      <c r="E38" s="67"/>
      <c r="F38" s="68"/>
      <c r="G38" s="72"/>
      <c r="H38" s="68"/>
    </row>
    <row r="39" spans="3:8" x14ac:dyDescent="0.25">
      <c r="C39" s="67"/>
      <c r="D39" s="71"/>
      <c r="E39" s="67"/>
      <c r="F39" s="68"/>
      <c r="G39" s="72"/>
      <c r="H39" s="68"/>
    </row>
    <row r="40" spans="3:8" x14ac:dyDescent="0.25">
      <c r="C40" s="67"/>
      <c r="D40" s="71"/>
      <c r="E40" s="67"/>
      <c r="F40" s="68"/>
      <c r="G40" s="72"/>
      <c r="H40" s="68"/>
    </row>
    <row r="41" spans="3:8" x14ac:dyDescent="0.25">
      <c r="C41" s="67"/>
      <c r="D41" s="71"/>
      <c r="E41" s="67"/>
      <c r="F41" s="68"/>
      <c r="G41" s="72"/>
      <c r="H41" s="6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6A3F-EB06-472B-B245-31FAEAD68EE6}">
  <dimension ref="A4:O26"/>
  <sheetViews>
    <sheetView topLeftCell="A15" zoomScale="110" zoomScaleNormal="110" workbookViewId="0">
      <selection activeCell="B27" sqref="B27"/>
    </sheetView>
  </sheetViews>
  <sheetFormatPr defaultRowHeight="15" x14ac:dyDescent="0.25"/>
  <cols>
    <col min="1" max="1" width="10.140625" bestFit="1" customWidth="1"/>
    <col min="2" max="2" width="38.42578125" bestFit="1" customWidth="1"/>
    <col min="3" max="7" width="9.42578125" bestFit="1" customWidth="1"/>
    <col min="8" max="8" width="9.5703125" bestFit="1" customWidth="1"/>
    <col min="9" max="14" width="9.7109375" bestFit="1" customWidth="1"/>
    <col min="15" max="15" width="10.7109375" bestFit="1" customWidth="1"/>
  </cols>
  <sheetData>
    <row r="4" spans="1:15" ht="23.25" x14ac:dyDescent="0.35">
      <c r="A4" s="84" t="s">
        <v>150</v>
      </c>
      <c r="B4" s="74"/>
      <c r="C4" s="74"/>
      <c r="D4" s="74"/>
      <c r="E4" s="74"/>
      <c r="F4" s="74"/>
    </row>
    <row r="7" spans="1:15" ht="15.75" x14ac:dyDescent="0.25">
      <c r="C7" s="13" t="s">
        <v>19</v>
      </c>
      <c r="D7" s="13" t="s">
        <v>20</v>
      </c>
      <c r="E7" s="13" t="s">
        <v>21</v>
      </c>
      <c r="F7" s="13" t="s">
        <v>22</v>
      </c>
      <c r="G7" s="13" t="s">
        <v>23</v>
      </c>
      <c r="H7" s="13" t="s">
        <v>24</v>
      </c>
      <c r="I7" s="13" t="s">
        <v>25</v>
      </c>
      <c r="J7" s="13" t="s">
        <v>26</v>
      </c>
      <c r="K7" s="13" t="s">
        <v>27</v>
      </c>
      <c r="L7" s="13" t="s">
        <v>28</v>
      </c>
      <c r="M7" s="13" t="s">
        <v>29</v>
      </c>
      <c r="N7" s="13" t="s">
        <v>30</v>
      </c>
      <c r="O7" s="13" t="s">
        <v>153</v>
      </c>
    </row>
    <row r="8" spans="1:15" ht="15.75" x14ac:dyDescent="0.25">
      <c r="A8">
        <v>1</v>
      </c>
      <c r="B8" s="78" t="s">
        <v>149</v>
      </c>
      <c r="C8" s="74"/>
      <c r="D8" s="74"/>
      <c r="E8" s="74"/>
    </row>
    <row r="9" spans="1:15" x14ac:dyDescent="0.25">
      <c r="B9" s="60" t="s">
        <v>152</v>
      </c>
      <c r="C9" s="60">
        <f>+SUM(C10:C11)</f>
        <v>0</v>
      </c>
      <c r="D9" s="60">
        <f t="shared" ref="D9:N9" si="0">+SUM(D10:D11)</f>
        <v>114.81</v>
      </c>
      <c r="E9" s="60">
        <f t="shared" si="0"/>
        <v>187.78</v>
      </c>
      <c r="F9" s="60">
        <f t="shared" si="0"/>
        <v>290</v>
      </c>
      <c r="G9" s="60">
        <f t="shared" si="0"/>
        <v>500.7</v>
      </c>
      <c r="H9" s="60">
        <f t="shared" si="0"/>
        <v>859.79</v>
      </c>
      <c r="I9" s="60">
        <f t="shared" si="0"/>
        <v>1345.53</v>
      </c>
      <c r="J9" s="60">
        <f t="shared" si="0"/>
        <v>1754.42</v>
      </c>
      <c r="K9" s="60">
        <f t="shared" si="0"/>
        <v>2290.29</v>
      </c>
      <c r="L9" s="60">
        <f t="shared" si="0"/>
        <v>2639.98</v>
      </c>
      <c r="M9" s="60">
        <f t="shared" si="0"/>
        <v>3093.5099999999998</v>
      </c>
      <c r="N9" s="60">
        <f t="shared" si="0"/>
        <v>3682.55</v>
      </c>
      <c r="O9" s="60">
        <f>+SUM(C9:N9)</f>
        <v>16759.36</v>
      </c>
    </row>
    <row r="10" spans="1:15" x14ac:dyDescent="0.25">
      <c r="B10" s="60" t="s">
        <v>36</v>
      </c>
      <c r="C10" s="60">
        <v>0</v>
      </c>
      <c r="D10" s="60">
        <v>50.23</v>
      </c>
      <c r="E10" s="60">
        <v>83.78</v>
      </c>
      <c r="F10" s="60">
        <v>131.82</v>
      </c>
      <c r="G10" s="60">
        <v>300.70999999999998</v>
      </c>
      <c r="H10" s="60">
        <v>667.02</v>
      </c>
      <c r="I10" s="60">
        <v>1151.06</v>
      </c>
      <c r="J10" s="60">
        <v>1505.31</v>
      </c>
      <c r="K10" s="60">
        <v>1940.22</v>
      </c>
      <c r="L10" s="60">
        <v>2448.98</v>
      </c>
      <c r="M10" s="60">
        <v>2812.1</v>
      </c>
      <c r="N10" s="60">
        <v>3322.67</v>
      </c>
      <c r="O10" s="60">
        <f t="shared" ref="O10:O11" si="1">+SUM(C10:N10)</f>
        <v>14413.9</v>
      </c>
    </row>
    <row r="11" spans="1:15" x14ac:dyDescent="0.25">
      <c r="B11" s="60" t="s">
        <v>37</v>
      </c>
      <c r="C11" s="60">
        <v>0</v>
      </c>
      <c r="D11" s="60">
        <v>64.58</v>
      </c>
      <c r="E11" s="60">
        <v>104</v>
      </c>
      <c r="F11" s="60">
        <v>158.18</v>
      </c>
      <c r="G11" s="60">
        <v>199.99</v>
      </c>
      <c r="H11" s="60">
        <v>192.77</v>
      </c>
      <c r="I11" s="60">
        <v>194.47</v>
      </c>
      <c r="J11" s="60">
        <v>249.11</v>
      </c>
      <c r="K11" s="60">
        <v>350.07</v>
      </c>
      <c r="L11" s="60">
        <v>191</v>
      </c>
      <c r="M11" s="60">
        <v>281.41000000000003</v>
      </c>
      <c r="N11" s="60">
        <v>359.88</v>
      </c>
      <c r="O11" s="60">
        <f t="shared" si="1"/>
        <v>2345.46</v>
      </c>
    </row>
    <row r="12" spans="1:15" x14ac:dyDescent="0.25"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</row>
    <row r="13" spans="1:15" ht="15.75" x14ac:dyDescent="0.25">
      <c r="A13">
        <v>2</v>
      </c>
      <c r="B13" s="85" t="s">
        <v>154</v>
      </c>
      <c r="C13" s="86"/>
      <c r="D13" s="86"/>
      <c r="E13" s="86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spans="1:15" x14ac:dyDescent="0.25">
      <c r="A14" s="62"/>
      <c r="B14" s="60" t="s">
        <v>155</v>
      </c>
      <c r="C14" s="60">
        <v>0</v>
      </c>
      <c r="D14" s="60">
        <v>130</v>
      </c>
      <c r="E14" s="60">
        <v>246</v>
      </c>
      <c r="F14" s="60">
        <v>445</v>
      </c>
      <c r="G14" s="60">
        <v>827</v>
      </c>
      <c r="H14" s="60">
        <v>1273</v>
      </c>
      <c r="I14" s="60">
        <v>2290</v>
      </c>
      <c r="J14" s="61">
        <v>3028</v>
      </c>
      <c r="K14" s="61">
        <v>3919</v>
      </c>
      <c r="L14" s="60">
        <v>4772</v>
      </c>
      <c r="M14" s="60">
        <v>5745</v>
      </c>
      <c r="N14" s="60">
        <v>6813</v>
      </c>
      <c r="O14" s="60">
        <f>+SUM(C14:N14)</f>
        <v>29488</v>
      </c>
    </row>
    <row r="15" spans="1:15" x14ac:dyDescent="0.25">
      <c r="A15" s="62"/>
      <c r="B15" s="60" t="s">
        <v>156</v>
      </c>
      <c r="C15" s="63">
        <f>+Assumptions!C50</f>
        <v>0.96</v>
      </c>
      <c r="D15" s="63">
        <f>+Assumptions!C51</f>
        <v>0.96</v>
      </c>
      <c r="E15" s="63">
        <f>+Assumptions!C52</f>
        <v>0.96</v>
      </c>
      <c r="F15" s="63">
        <f>+Assumptions!C53</f>
        <v>0.95</v>
      </c>
      <c r="G15" s="63">
        <f>+Assumptions!C54</f>
        <v>0.95</v>
      </c>
      <c r="H15" s="63">
        <f>+Assumptions!C55</f>
        <v>0.95</v>
      </c>
      <c r="I15" s="63">
        <f>+Assumptions!C56</f>
        <v>0.9</v>
      </c>
      <c r="J15" s="63">
        <f>+Assumptions!C57</f>
        <v>0.9</v>
      </c>
      <c r="K15" s="63">
        <f>+Assumptions!C58</f>
        <v>0.9</v>
      </c>
      <c r="L15" s="63">
        <f>+Assumptions!C59</f>
        <v>0.9</v>
      </c>
      <c r="M15" s="63">
        <f>+Assumptions!C60</f>
        <v>0.9</v>
      </c>
      <c r="N15" s="63">
        <f>+Assumptions!C61</f>
        <v>0.9</v>
      </c>
      <c r="O15" s="60"/>
    </row>
    <row r="16" spans="1:15" x14ac:dyDescent="0.25">
      <c r="A16" s="62"/>
      <c r="B16" s="60" t="s">
        <v>152</v>
      </c>
      <c r="C16" s="60">
        <f>+C14*C15</f>
        <v>0</v>
      </c>
      <c r="D16" s="60">
        <f t="shared" ref="D16:N16" si="2">+D14*D15</f>
        <v>124.8</v>
      </c>
      <c r="E16" s="60">
        <f t="shared" si="2"/>
        <v>236.16</v>
      </c>
      <c r="F16" s="60">
        <f t="shared" si="2"/>
        <v>422.75</v>
      </c>
      <c r="G16" s="60">
        <f t="shared" si="2"/>
        <v>785.65</v>
      </c>
      <c r="H16" s="60">
        <f t="shared" si="2"/>
        <v>1209.3499999999999</v>
      </c>
      <c r="I16" s="60">
        <f t="shared" si="2"/>
        <v>2061</v>
      </c>
      <c r="J16" s="60">
        <f t="shared" si="2"/>
        <v>2725.2000000000003</v>
      </c>
      <c r="K16" s="60">
        <f t="shared" si="2"/>
        <v>3527.1</v>
      </c>
      <c r="L16" s="60">
        <f t="shared" si="2"/>
        <v>4294.8</v>
      </c>
      <c r="M16" s="60">
        <f t="shared" si="2"/>
        <v>5170.5</v>
      </c>
      <c r="N16" s="60">
        <f t="shared" si="2"/>
        <v>6131.7</v>
      </c>
      <c r="O16" s="60">
        <f t="shared" ref="O16:O19" si="3">+SUM(C16:N16)</f>
        <v>26689.010000000002</v>
      </c>
    </row>
    <row r="17" spans="1:15" x14ac:dyDescent="0.25">
      <c r="A17" s="62"/>
      <c r="B17" s="60" t="s">
        <v>157</v>
      </c>
      <c r="C17" s="63">
        <f>+Assumptions!C22</f>
        <v>0</v>
      </c>
      <c r="D17" s="63">
        <f>+Assumptions!C23</f>
        <v>0</v>
      </c>
      <c r="E17" s="63">
        <f>+Assumptions!C24</f>
        <v>0</v>
      </c>
      <c r="F17" s="63">
        <f>+Assumptions!C25</f>
        <v>0.06</v>
      </c>
      <c r="G17" s="63">
        <f>+Assumptions!C26</f>
        <v>0.11</v>
      </c>
      <c r="H17" s="63">
        <f>+Assumptions!C27</f>
        <v>0.28999999999999998</v>
      </c>
      <c r="I17" s="63">
        <f>+Assumptions!C28</f>
        <v>0.44</v>
      </c>
      <c r="J17" s="63">
        <f>+Assumptions!C29</f>
        <v>0.52</v>
      </c>
      <c r="K17" s="63">
        <f>+Assumptions!C30</f>
        <v>0.57999999999999996</v>
      </c>
      <c r="L17" s="63">
        <f>+Assumptions!C31</f>
        <v>0.57999999999999996</v>
      </c>
      <c r="M17" s="63">
        <f>+Assumptions!C32</f>
        <v>0.57999999999999996</v>
      </c>
      <c r="N17" s="63">
        <f>+Assumptions!C33</f>
        <v>0.57999999999999996</v>
      </c>
      <c r="O17" s="60"/>
    </row>
    <row r="18" spans="1:15" x14ac:dyDescent="0.25">
      <c r="B18" s="60" t="s">
        <v>36</v>
      </c>
      <c r="C18" s="60">
        <f>+C16*C17</f>
        <v>0</v>
      </c>
      <c r="D18" s="60">
        <f t="shared" ref="D18:N18" si="4">+D16*D17</f>
        <v>0</v>
      </c>
      <c r="E18" s="60">
        <f t="shared" si="4"/>
        <v>0</v>
      </c>
      <c r="F18" s="60">
        <f t="shared" si="4"/>
        <v>25.364999999999998</v>
      </c>
      <c r="G18" s="60">
        <f t="shared" si="4"/>
        <v>86.421499999999995</v>
      </c>
      <c r="H18" s="60">
        <f t="shared" si="4"/>
        <v>350.71149999999994</v>
      </c>
      <c r="I18" s="60">
        <f t="shared" si="4"/>
        <v>906.84</v>
      </c>
      <c r="J18" s="60">
        <f t="shared" si="4"/>
        <v>1417.1040000000003</v>
      </c>
      <c r="K18" s="60">
        <f t="shared" si="4"/>
        <v>2045.7179999999998</v>
      </c>
      <c r="L18" s="60">
        <f t="shared" si="4"/>
        <v>2490.9839999999999</v>
      </c>
      <c r="M18" s="60">
        <f t="shared" si="4"/>
        <v>2998.89</v>
      </c>
      <c r="N18" s="60">
        <f t="shared" si="4"/>
        <v>3556.3859999999995</v>
      </c>
      <c r="O18" s="60">
        <f t="shared" si="3"/>
        <v>13878.419999999998</v>
      </c>
    </row>
    <row r="19" spans="1:15" x14ac:dyDescent="0.25">
      <c r="B19" s="60" t="s">
        <v>37</v>
      </c>
      <c r="C19" s="60">
        <f>+C16-C18</f>
        <v>0</v>
      </c>
      <c r="D19" s="60">
        <f t="shared" ref="D19:N19" si="5">+D16-D18</f>
        <v>124.8</v>
      </c>
      <c r="E19" s="60">
        <f t="shared" si="5"/>
        <v>236.16</v>
      </c>
      <c r="F19" s="60">
        <f t="shared" si="5"/>
        <v>397.38499999999999</v>
      </c>
      <c r="G19" s="60">
        <f t="shared" si="5"/>
        <v>699.22849999999994</v>
      </c>
      <c r="H19" s="60">
        <f t="shared" si="5"/>
        <v>858.63850000000002</v>
      </c>
      <c r="I19" s="60">
        <f t="shared" si="5"/>
        <v>1154.1599999999999</v>
      </c>
      <c r="J19" s="60">
        <f t="shared" si="5"/>
        <v>1308.096</v>
      </c>
      <c r="K19" s="60">
        <f t="shared" si="5"/>
        <v>1481.3820000000001</v>
      </c>
      <c r="L19" s="60">
        <f t="shared" si="5"/>
        <v>1803.8160000000003</v>
      </c>
      <c r="M19" s="60">
        <f t="shared" si="5"/>
        <v>2171.61</v>
      </c>
      <c r="N19" s="60">
        <f t="shared" si="5"/>
        <v>2575.3140000000003</v>
      </c>
      <c r="O19" s="60">
        <f t="shared" si="3"/>
        <v>12810.590000000002</v>
      </c>
    </row>
    <row r="24" spans="1:15" ht="23.25" x14ac:dyDescent="0.35">
      <c r="A24" s="84" t="s">
        <v>163</v>
      </c>
      <c r="B24" s="74"/>
      <c r="C24" s="74"/>
      <c r="D24" s="74"/>
      <c r="E24" s="74"/>
      <c r="F24" s="74"/>
    </row>
    <row r="25" spans="1:15" ht="15.75" x14ac:dyDescent="0.25">
      <c r="C25" s="13" t="s">
        <v>19</v>
      </c>
      <c r="D25" s="13" t="s">
        <v>20</v>
      </c>
      <c r="E25" s="13" t="s">
        <v>21</v>
      </c>
      <c r="F25" s="13" t="s">
        <v>22</v>
      </c>
      <c r="G25" s="13" t="s">
        <v>23</v>
      </c>
      <c r="H25" s="13" t="s">
        <v>24</v>
      </c>
      <c r="I25" s="13" t="s">
        <v>25</v>
      </c>
      <c r="J25" s="13" t="s">
        <v>26</v>
      </c>
      <c r="K25" s="13" t="s">
        <v>27</v>
      </c>
      <c r="L25" s="13" t="s">
        <v>28</v>
      </c>
      <c r="M25" s="13" t="s">
        <v>29</v>
      </c>
      <c r="N25" s="13" t="s">
        <v>30</v>
      </c>
      <c r="O25" s="13" t="s">
        <v>153</v>
      </c>
    </row>
    <row r="26" spans="1:15" x14ac:dyDescent="0.25">
      <c r="B26" t="s">
        <v>164</v>
      </c>
    </row>
  </sheetData>
  <mergeCells count="4">
    <mergeCell ref="A4:F4"/>
    <mergeCell ref="B8:E8"/>
    <mergeCell ref="B13:E13"/>
    <mergeCell ref="A24:F24"/>
  </mergeCells>
  <pageMargins left="0.7" right="0.7" top="0.75" bottom="0.75" header="0.3" footer="0.3"/>
  <ignoredErrors>
    <ignoredError sqref="C17:N17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3ebf5b-216a-4668-b5b2-6538a9d2a4e0" xsi:nil="true"/>
    <lcf76f155ced4ddcb4097134ff3c332f xmlns="36955f86-51a2-4ea6-9f8a-018e404018e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FBF632A60FD4AA8BFC74D22A952B4" ma:contentTypeVersion="20" ma:contentTypeDescription="Create a new document." ma:contentTypeScope="" ma:versionID="509e18cf81ccc7cbb4420cae9a6e262a">
  <xsd:schema xmlns:xsd="http://www.w3.org/2001/XMLSchema" xmlns:xs="http://www.w3.org/2001/XMLSchema" xmlns:p="http://schemas.microsoft.com/office/2006/metadata/properties" xmlns:ns2="36955f86-51a2-4ea6-9f8a-018e404018ee" xmlns:ns3="353ebf5b-216a-4668-b5b2-6538a9d2a4e0" targetNamespace="http://schemas.microsoft.com/office/2006/metadata/properties" ma:root="true" ma:fieldsID="fce0415c6364bf58a6c33c7c3c355246" ns2:_="" ns3:_="">
    <xsd:import namespace="36955f86-51a2-4ea6-9f8a-018e404018ee"/>
    <xsd:import namespace="353ebf5b-216a-4668-b5b2-6538a9d2a4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955f86-51a2-4ea6-9f8a-018e40401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a12c4d5-e153-441a-a251-00ea2fff6b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ebf5b-216a-4668-b5b2-6538a9d2a4e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4d0c4c-90d1-4f60-a638-c077eacfd083}" ma:internalName="TaxCatchAll" ma:showField="CatchAllData" ma:web="353ebf5b-216a-4668-b5b2-6538a9d2a4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D59A25-AE7F-4983-9B8A-187DB78DFA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B9675B-4A74-4AFC-9260-7E9F9E23AA08}">
  <ds:schemaRefs>
    <ds:schemaRef ds:uri="http://schemas.microsoft.com/office/2006/metadata/properties"/>
    <ds:schemaRef ds:uri="http://schemas.microsoft.com/office/infopath/2007/PartnerControls"/>
    <ds:schemaRef ds:uri="353ebf5b-216a-4668-b5b2-6538a9d2a4e0"/>
    <ds:schemaRef ds:uri="36955f86-51a2-4ea6-9f8a-018e404018ee"/>
  </ds:schemaRefs>
</ds:datastoreItem>
</file>

<file path=customXml/itemProps3.xml><?xml version="1.0" encoding="utf-8"?>
<ds:datastoreItem xmlns:ds="http://schemas.openxmlformats.org/officeDocument/2006/customXml" ds:itemID="{905E9ED4-5BD1-44A6-AC29-86676275EC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955f86-51a2-4ea6-9f8a-018e404018ee"/>
    <ds:schemaRef ds:uri="353ebf5b-216a-4668-b5b2-6538a9d2a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Model</vt:lpstr>
      <vt:lpstr>Charts</vt:lpstr>
      <vt:lpstr>Accruals</vt:lpstr>
      <vt:lpstr>Scenarios</vt:lpstr>
      <vt:lpstr>Sensitivity</vt:lpstr>
      <vt:lpstr>exFactory Demand Model</vt:lpstr>
      <vt:lpstr>Demand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Jones</cp:lastModifiedBy>
  <dcterms:created xsi:type="dcterms:W3CDTF">2026-01-26T01:06:36Z</dcterms:created>
  <dcterms:modified xsi:type="dcterms:W3CDTF">2026-01-27T21:17:44Z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0x0101006DEFBF632A60FD4AA8BFC74D22A952B4</vt:lpwstr>
  </property>
</Properties>
</file>